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upportical-my.sharepoint.com/personal/daniela_vargas_supportical_com/Documents/Excel/"/>
    </mc:Choice>
  </mc:AlternateContent>
  <xr:revisionPtr revIDLastSave="1458" documentId="13_ncr:1_{BE8B7919-5891-4F2B-8F43-8B4FEA8192A2}" xr6:coauthVersionLast="47" xr6:coauthVersionMax="47" xr10:uidLastSave="{FA9D7505-5FBF-4962-8BF6-BA1EA7AB190B}"/>
  <bookViews>
    <workbookView xWindow="-120" yWindow="-120" windowWidth="29040" windowHeight="15720" firstSheet="1" activeTab="1" xr2:uid="{3672B588-000C-4967-968E-492435D46725}"/>
  </bookViews>
  <sheets>
    <sheet name="DATASET" sheetId="2" state="hidden" r:id="rId1"/>
    <sheet name="DASHBOARD" sheetId="1" r:id="rId2"/>
  </sheets>
  <definedNames>
    <definedName name="DatosExternos_1" localSheetId="0" hidden="1">DATASET!$A$1:$K$51</definedName>
    <definedName name="NativeTimeline_Fecha">#N/A</definedName>
    <definedName name="SegmentaciónDeDatos_Categoría">#N/A</definedName>
    <definedName name="SegmentaciónDeDatos_Tipo__Ingreso_Gasto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28" i="1"/>
  <c r="B31" i="1"/>
  <c r="B27" i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23" i="1"/>
  <c r="B2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726FBB-97C7-4F59-BB83-9054652CA1DD}" keepAlive="1" name="Consulta - Concentrado" description="Conexión a la consulta 'Concentrado' en el libro." type="5" refreshedVersion="8" background="1" saveData="1">
    <dbPr connection="Provider=Microsoft.Mashup.OleDb.1;Data Source=$Workbook$;Location=Concentrado;Extended Properties=&quot;&quot;" command="SELECT * FROM [Concentrado]"/>
  </connection>
</connections>
</file>

<file path=xl/sharedStrings.xml><?xml version="1.0" encoding="utf-8"?>
<sst xmlns="http://schemas.openxmlformats.org/spreadsheetml/2006/main" count="497" uniqueCount="93">
  <si>
    <t>Fecha</t>
  </si>
  <si>
    <t>Categoría</t>
  </si>
  <si>
    <t xml:space="preserve"> Subcategoría</t>
  </si>
  <si>
    <t>Descripción</t>
  </si>
  <si>
    <t>Tipo (Ingreso/Gasto)</t>
  </si>
  <si>
    <t>Monto</t>
  </si>
  <si>
    <t>Forma de pago</t>
  </si>
  <si>
    <t>¿Es gasto fijo o variable?</t>
  </si>
  <si>
    <t>¿Es necesario o prescindible?</t>
  </si>
  <si>
    <t>¿Fue planeado o imprevisto?</t>
  </si>
  <si>
    <t>Ingresos</t>
  </si>
  <si>
    <t>Bonificación</t>
  </si>
  <si>
    <t>Bonificación por buen desempeño</t>
  </si>
  <si>
    <t>Ingreso</t>
  </si>
  <si>
    <t>Efectivo</t>
  </si>
  <si>
    <t>Variable</t>
  </si>
  <si>
    <t>Extra</t>
  </si>
  <si>
    <t>Inesperado</t>
  </si>
  <si>
    <t>Transferencia</t>
  </si>
  <si>
    <t>Depósito</t>
  </si>
  <si>
    <t>Freelance</t>
  </si>
  <si>
    <t>Proyecto freelance UX para startup</t>
  </si>
  <si>
    <t>PayPal</t>
  </si>
  <si>
    <t>Planeado</t>
  </si>
  <si>
    <t>Reembolso</t>
  </si>
  <si>
    <t>Reembolso por gastos de trabajo</t>
  </si>
  <si>
    <t>Necesario</t>
  </si>
  <si>
    <t>Regalo</t>
  </si>
  <si>
    <t>Regalo de cumpleaños de papás</t>
  </si>
  <si>
    <t>Sueldo</t>
  </si>
  <si>
    <t>Pago mensual empresa UXCorp</t>
  </si>
  <si>
    <t>Fijo</t>
  </si>
  <si>
    <t>Venta de segunda mano</t>
  </si>
  <si>
    <t>Venta de ropa y gadgets usados</t>
  </si>
  <si>
    <t>Entretenimiento</t>
  </si>
  <si>
    <t>Spotify</t>
  </si>
  <si>
    <t>Suscripción mensual a Spotify Premium</t>
  </si>
  <si>
    <t>Gasto</t>
  </si>
  <si>
    <t>Prescindible</t>
  </si>
  <si>
    <t>Imprevisto</t>
  </si>
  <si>
    <t>Eventos</t>
  </si>
  <si>
    <t>Gasto en eventos</t>
  </si>
  <si>
    <t>Tarjeta de crédito</t>
  </si>
  <si>
    <t>Transporte</t>
  </si>
  <si>
    <t>Gasolina</t>
  </si>
  <si>
    <t>Gasto en gasolina</t>
  </si>
  <si>
    <t>Educación</t>
  </si>
  <si>
    <t>Libros</t>
  </si>
  <si>
    <t>Gasto en libros</t>
  </si>
  <si>
    <t>Cursos online</t>
  </si>
  <si>
    <t>Gasto en cursos online</t>
  </si>
  <si>
    <t>Personales</t>
  </si>
  <si>
    <t>Regalos</t>
  </si>
  <si>
    <t>Gasto en regalos</t>
  </si>
  <si>
    <t>Débito</t>
  </si>
  <si>
    <t>Netflix</t>
  </si>
  <si>
    <t>Pago mensual de Netflix</t>
  </si>
  <si>
    <t>Vivienda</t>
  </si>
  <si>
    <t>Servicios (agua, luz, gas)</t>
  </si>
  <si>
    <t>Gasto en servicios (agua, luz, gas)</t>
  </si>
  <si>
    <t>Salud</t>
  </si>
  <si>
    <t>Consultas médicas</t>
  </si>
  <si>
    <t>Consulta ginecológica semestral</t>
  </si>
  <si>
    <t>Ropa</t>
  </si>
  <si>
    <t>Compra de blusa en Zara</t>
  </si>
  <si>
    <t>Cuidado personal</t>
  </si>
  <si>
    <t>Gasto en cuidado personal</t>
  </si>
  <si>
    <t>Uber</t>
  </si>
  <si>
    <t>Gasto en uber</t>
  </si>
  <si>
    <t>Renta</t>
  </si>
  <si>
    <t>Pago mensual de renta</t>
  </si>
  <si>
    <t>Total ingresos</t>
  </si>
  <si>
    <t>Total gastos</t>
  </si>
  <si>
    <t>MES</t>
  </si>
  <si>
    <t>Etiquetas de fila</t>
  </si>
  <si>
    <t>Suma de Monto</t>
  </si>
  <si>
    <t>Total general</t>
  </si>
  <si>
    <t>Principales fuentes de ingresos</t>
  </si>
  <si>
    <t>Principales tipos de gastos</t>
  </si>
  <si>
    <t>Promedio mensual de ingresos</t>
  </si>
  <si>
    <t>Promedio mensual de gastos</t>
  </si>
  <si>
    <t>Promedio de Monto</t>
  </si>
  <si>
    <t>porcentaje de gastos fijos vs variables</t>
  </si>
  <si>
    <t>fijos</t>
  </si>
  <si>
    <t>variables</t>
  </si>
  <si>
    <t>Porcentaje de gastos necesarios vs prescendibles</t>
  </si>
  <si>
    <t>Necesarios</t>
  </si>
  <si>
    <t>Prescendibles</t>
  </si>
  <si>
    <t>junio</t>
  </si>
  <si>
    <t>julio</t>
  </si>
  <si>
    <t>agosto</t>
  </si>
  <si>
    <t>Etiquetas de columna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</si>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</sst>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240A]\ * #,##0.00_-;\-[$$-240A]\ * #,##0.00_-;_-[$$-240A]\ * &quot;-&quot;??_-;_-@_-"/>
    <numFmt numFmtId="165" formatCode="&quot;$&quot;\ 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4" fontId="0" fillId="0" borderId="0" xfId="0" applyNumberFormat="1"/>
    <xf numFmtId="9" fontId="0" fillId="0" borderId="0" xfId="2" applyFont="1"/>
    <xf numFmtId="0" fontId="0" fillId="0" borderId="0" xfId="2" applyNumberFormat="1" applyFont="1"/>
    <xf numFmtId="10" fontId="0" fillId="0" borderId="0" xfId="2" applyNumberFormat="1" applyFont="1"/>
    <xf numFmtId="10" fontId="0" fillId="0" borderId="0" xfId="2" applyNumberFormat="1" applyFont="1" applyAlignment="1">
      <alignment horizontal="center"/>
    </xf>
    <xf numFmtId="44" fontId="0" fillId="0" borderId="0" xfId="1" applyFont="1"/>
  </cellXfs>
  <cellStyles count="3">
    <cellStyle name="Moneda" xfId="1" builtinId="4"/>
    <cellStyle name="Normal" xfId="0" builtinId="0"/>
    <cellStyle name="Porcentaje" xfId="2" builtinId="5"/>
  </cellStyles>
  <dxfs count="19">
    <dxf>
      <numFmt numFmtId="165" formatCode="&quot;$&quot;\ #,##0.00"/>
    </dxf>
    <dxf>
      <numFmt numFmtId="164" formatCode="_-[$$-240A]\ * #,##0.00_-;\-[$$-240A]\ * #,##0.00_-;_-[$$-240A]\ * &quot;-&quot;??_-;_-@_-"/>
    </dxf>
    <dxf>
      <numFmt numFmtId="165" formatCode="&quot;$&quot;\ #,##0.00"/>
    </dxf>
    <dxf>
      <numFmt numFmtId="164" formatCode="_-[$$-240A]\ * #,##0.00_-;\-[$$-240A]\ * #,##0.00_-;_-[$$-240A]\ * &quot;-&quot;??_-;_-@_-"/>
    </dxf>
    <dxf>
      <numFmt numFmtId="165" formatCode="&quot;$&quot;\ #,##0.00"/>
    </dxf>
    <dxf>
      <numFmt numFmtId="164" formatCode="_-[$$-240A]\ * #,##0.00_-;\-[$$-240A]\ * #,##0.00_-;_-[$$-240A]\ * &quot;-&quot;??_-;_-@_-"/>
    </dxf>
    <dxf>
      <numFmt numFmtId="165" formatCode="&quot;$&quot;\ #,##0.00"/>
    </dxf>
    <dxf>
      <numFmt numFmtId="164" formatCode="_-[$$-240A]\ * #,##0.00_-;\-[$$-240A]\ * #,##0.00_-;_-[$$-240A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$-240A]\ * #,##0.00_-;\-[$$-240A]\ * #,##0.00_-;_-[$$-240A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colors>
    <mruColors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11" Type="http://schemas.openxmlformats.org/officeDocument/2006/relationships/calcChain" Target="calcChain.xml"/><Relationship Id="rId5" Type="http://schemas.microsoft.com/office/2007/relationships/slicerCache" Target="slicerCaches/slicerCache2.xml"/><Relationship Id="rId10" Type="http://schemas.openxmlformats.org/officeDocument/2006/relationships/sharedStrings" Target="sharedStrings.xml"/><Relationship Id="rId4" Type="http://schemas.microsoft.com/office/2007/relationships/slicerCache" Target="slicerCaches/slicerCache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[Reportes.xlsx]DASHBOARD!TablaDinámica1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 b="1">
                <a:solidFill>
                  <a:schemeClr val="tx2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Tendencia mensual de ingresos vs 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38100" cap="rnd" cmpd="sng" algn="ctr">
            <a:solidFill>
              <a:srgbClr val="002060"/>
            </a:solidFill>
            <a:round/>
          </a:ln>
          <a:effectLst/>
        </c:spPr>
        <c:marker>
          <c:symbol val="circle"/>
          <c:size val="4"/>
          <c:spPr>
            <a:solidFill>
              <a:srgbClr val="002060"/>
            </a:solidFill>
            <a:ln w="38100" cap="flat" cmpd="sng" algn="ctr">
              <a:solidFill>
                <a:srgbClr val="002060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4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lumMod val="110000"/>
                  <a:satMod val="105000"/>
                  <a:tint val="67000"/>
                </a:schemeClr>
              </a:gs>
              <a:gs pos="50000">
                <a:schemeClr val="accent4">
                  <a:lumMod val="105000"/>
                  <a:satMod val="103000"/>
                  <a:tint val="73000"/>
                </a:schemeClr>
              </a:gs>
              <a:gs pos="100000">
                <a:schemeClr val="accent4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4"/>
            </a:solidFill>
            <a:round/>
          </a:ln>
          <a:effectLst/>
        </c:spPr>
        <c:marker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DASHBOARD!$B$35:$B$36</c:f>
              <c:strCache>
                <c:ptCount val="1"/>
                <c:pt idx="0">
                  <c:v>Gasto</c:v>
                </c:pt>
              </c:strCache>
            </c:strRef>
          </c:tx>
          <c:spPr>
            <a:ln w="38100" cap="rnd" cmpd="sng" algn="ctr">
              <a:solidFill>
                <a:srgbClr val="00206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2060"/>
              </a:solidFill>
              <a:ln w="38100" cap="flat" cmpd="sng" algn="ctr">
                <a:solidFill>
                  <a:srgbClr val="002060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DASHBOARD!$A$37:$A$40</c:f>
              <c:strCache>
                <c:ptCount val="3"/>
                <c:pt idx="0">
                  <c:v>junio</c:v>
                </c:pt>
                <c:pt idx="1">
                  <c:v>julio</c:v>
                </c:pt>
                <c:pt idx="2">
                  <c:v>agosto</c:v>
                </c:pt>
              </c:strCache>
            </c:strRef>
          </c:cat>
          <c:val>
            <c:numRef>
              <c:f>DASHBOARD!$B$37:$B$40</c:f>
              <c:numCache>
                <c:formatCode>"$"\ #,##0.00</c:formatCode>
                <c:ptCount val="3"/>
                <c:pt idx="0">
                  <c:v>25685.079999999998</c:v>
                </c:pt>
                <c:pt idx="1">
                  <c:v>19723.079999999998</c:v>
                </c:pt>
                <c:pt idx="2">
                  <c:v>49479.710000000006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75-4CA6-B283-F079D78DC54E}"/>
            </c:ext>
          </c:extLst>
        </c:ser>
        <c:ser>
          <c:idx val="1"/>
          <c:order val="1"/>
          <c:tx>
            <c:strRef>
              <c:f>DASHBOARD!$C$35:$C$36</c:f>
              <c:strCache>
                <c:ptCount val="1"/>
                <c:pt idx="0">
                  <c:v>Ingreso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DASHBOARD!$A$37:$A$40</c:f>
              <c:strCache>
                <c:ptCount val="3"/>
                <c:pt idx="0">
                  <c:v>junio</c:v>
                </c:pt>
                <c:pt idx="1">
                  <c:v>julio</c:v>
                </c:pt>
                <c:pt idx="2">
                  <c:v>agosto</c:v>
                </c:pt>
              </c:strCache>
            </c:strRef>
          </c:cat>
          <c:val>
            <c:numRef>
              <c:f>DASHBOARD!$C$37:$C$40</c:f>
              <c:numCache>
                <c:formatCode>"$"\ #,##0.00</c:formatCode>
                <c:ptCount val="3"/>
                <c:pt idx="0">
                  <c:v>57167.31</c:v>
                </c:pt>
                <c:pt idx="1">
                  <c:v>80166.319999999992</c:v>
                </c:pt>
                <c:pt idx="2">
                  <c:v>155796.94999999998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210-44F3-A0E3-9D198645BA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99512191"/>
        <c:axId val="899513151"/>
      </c:lineChart>
      <c:catAx>
        <c:axId val="89951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9513151"/>
        <c:crosses val="autoZero"/>
        <c:auto val="1"/>
        <c:lblAlgn val="ctr"/>
        <c:lblOffset val="100"/>
        <c:noMultiLvlLbl val="0"/>
      </c:catAx>
      <c:valAx>
        <c:axId val="899513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Monto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99512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[Reportes.xlsx]DASHBOARD!TablaDinámica2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Ingreso</a:t>
            </a:r>
            <a:r>
              <a:rPr lang="en-US" b="1" baseline="0">
                <a:solidFill>
                  <a:schemeClr val="tx2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s vs gastos</a:t>
            </a:r>
            <a:endParaRPr lang="en-US" b="1">
              <a:solidFill>
                <a:schemeClr val="tx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DASHBOARD!$B$42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9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7F-465D-8D41-CC0E67ABD878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7F-465D-8D41-CC0E67ABD878}"/>
              </c:ext>
            </c:extLst>
          </c:dPt>
          <c:dLbls>
            <c:dLbl>
              <c:idx val="1"/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7F-465D-8D41-CC0E67ABD8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DASHBOARD!$A$43:$A$45</c:f>
              <c:strCache>
                <c:ptCount val="2"/>
                <c:pt idx="0">
                  <c:v>Ingreso</c:v>
                </c:pt>
                <c:pt idx="1">
                  <c:v>Gasto</c:v>
                </c:pt>
              </c:strCache>
            </c:strRef>
          </c:cat>
          <c:val>
            <c:numRef>
              <c:f>DASHBOARD!$B$43:$B$45</c:f>
              <c:numCache>
                <c:formatCode>General</c:formatCode>
                <c:ptCount val="2"/>
                <c:pt idx="0">
                  <c:v>293130.57999999996</c:v>
                </c:pt>
                <c:pt idx="1">
                  <c:v>94887.87000000001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7-4179-AD8A-A186C445701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[Reportes.xlsx]DASHBOARD!TablaDinámica3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2000" b="1">
                <a:solidFill>
                  <a:schemeClr val="tx2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Principales tipos de ingresos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tx2">
              <a:lumMod val="75000"/>
              <a:lumOff val="25000"/>
            </a:schemeClr>
          </a:solidFill>
          <a:ln>
            <a:solidFill>
              <a:schemeClr val="tx2">
                <a:lumMod val="75000"/>
                <a:lumOff val="25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DASHBOARD!$K$13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DASHBOARD!$J$14:$J$20</c:f>
              <c:strCache>
                <c:ptCount val="6"/>
                <c:pt idx="0">
                  <c:v>Reembolso</c:v>
                </c:pt>
                <c:pt idx="1">
                  <c:v>Venta de segunda mano</c:v>
                </c:pt>
                <c:pt idx="2">
                  <c:v>Bonificación</c:v>
                </c:pt>
                <c:pt idx="3">
                  <c:v>Sueldo</c:v>
                </c:pt>
                <c:pt idx="4">
                  <c:v>Freelance</c:v>
                </c:pt>
                <c:pt idx="5">
                  <c:v>Regalo</c:v>
                </c:pt>
              </c:strCache>
            </c:strRef>
          </c:cat>
          <c:val>
            <c:numRef>
              <c:f>DASHBOARD!$K$14:$K$20</c:f>
              <c:numCache>
                <c:formatCode>"$"\ #,##0.00</c:formatCode>
                <c:ptCount val="6"/>
                <c:pt idx="0">
                  <c:v>21079.200000000001</c:v>
                </c:pt>
                <c:pt idx="1">
                  <c:v>33664.43</c:v>
                </c:pt>
                <c:pt idx="2">
                  <c:v>40513.800000000003</c:v>
                </c:pt>
                <c:pt idx="3">
                  <c:v>49410.42</c:v>
                </c:pt>
                <c:pt idx="4">
                  <c:v>70455.510000000009</c:v>
                </c:pt>
                <c:pt idx="5">
                  <c:v>78007.22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0-4FF3-A537-127B1B1263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4"/>
        <c:overlap val="1"/>
        <c:axId val="712218847"/>
        <c:axId val="712226047"/>
      </c:barChart>
      <c:catAx>
        <c:axId val="71221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2226047"/>
        <c:crosses val="autoZero"/>
        <c:auto val="1"/>
        <c:lblAlgn val="ctr"/>
        <c:lblOffset val="100"/>
        <c:noMultiLvlLbl val="0"/>
      </c:catAx>
      <c:valAx>
        <c:axId val="71222604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crossAx val="71221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[Reportes.xlsx]DASHBOARD!TablaDinámica4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2"/>
                </a:solidFill>
                <a:latin typeface="ADLaM Display" panose="02010000000000000000" pitchFamily="2" charset="0"/>
                <a:ea typeface="ADLaM Display" panose="02010000000000000000" pitchFamily="2" charset="0"/>
                <a:cs typeface="ADLaM Display" panose="02010000000000000000" pitchFamily="2" charset="0"/>
              </a:rPr>
              <a:t>Principales tipos de 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DASHBOARD!$P$13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DASHBOARD!$O$14:$O$27</c:f>
              <c:strCache>
                <c:ptCount val="13"/>
                <c:pt idx="0">
                  <c:v>Cuidado personal</c:v>
                </c:pt>
                <c:pt idx="1">
                  <c:v>Spotify</c:v>
                </c:pt>
                <c:pt idx="2">
                  <c:v>Servicios (agua, luz, gas)</c:v>
                </c:pt>
                <c:pt idx="3">
                  <c:v>Libros</c:v>
                </c:pt>
                <c:pt idx="4">
                  <c:v>Netflix</c:v>
                </c:pt>
                <c:pt idx="5">
                  <c:v>Renta</c:v>
                </c:pt>
                <c:pt idx="6">
                  <c:v>Eventos</c:v>
                </c:pt>
                <c:pt idx="7">
                  <c:v>Consultas médicas</c:v>
                </c:pt>
                <c:pt idx="8">
                  <c:v>Uber</c:v>
                </c:pt>
                <c:pt idx="9">
                  <c:v>Ropa</c:v>
                </c:pt>
                <c:pt idx="10">
                  <c:v>Gasolina</c:v>
                </c:pt>
                <c:pt idx="11">
                  <c:v>Regalos</c:v>
                </c:pt>
                <c:pt idx="12">
                  <c:v>Cursos online</c:v>
                </c:pt>
              </c:strCache>
            </c:strRef>
          </c:cat>
          <c:val>
            <c:numRef>
              <c:f>DASHBOARD!$P$14:$P$27</c:f>
              <c:numCache>
                <c:formatCode>"$"\ #,##0.00</c:formatCode>
                <c:ptCount val="13"/>
                <c:pt idx="0">
                  <c:v>1045.26</c:v>
                </c:pt>
                <c:pt idx="1">
                  <c:v>2348.36</c:v>
                </c:pt>
                <c:pt idx="2">
                  <c:v>3230.91</c:v>
                </c:pt>
                <c:pt idx="3">
                  <c:v>4075.65</c:v>
                </c:pt>
                <c:pt idx="4">
                  <c:v>5060.76</c:v>
                </c:pt>
                <c:pt idx="5">
                  <c:v>5520.52</c:v>
                </c:pt>
                <c:pt idx="6">
                  <c:v>5918.21</c:v>
                </c:pt>
                <c:pt idx="7">
                  <c:v>6156.43</c:v>
                </c:pt>
                <c:pt idx="8">
                  <c:v>6708.96</c:v>
                </c:pt>
                <c:pt idx="9">
                  <c:v>8459.9500000000007</c:v>
                </c:pt>
                <c:pt idx="10">
                  <c:v>10050.11</c:v>
                </c:pt>
                <c:pt idx="11">
                  <c:v>16806.239999999998</c:v>
                </c:pt>
                <c:pt idx="12">
                  <c:v>19506.510000000002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0-4A64-889B-6976D740D3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7"/>
        <c:overlap val="11"/>
        <c:axId val="712205887"/>
        <c:axId val="712210687"/>
      </c:barChart>
      <c:catAx>
        <c:axId val="712205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12210687"/>
        <c:crosses val="autoZero"/>
        <c:auto val="1"/>
        <c:lblAlgn val="ctr"/>
        <c:lblOffset val="100"/>
        <c:noMultiLvlLbl val="0"/>
      </c:catAx>
      <c:valAx>
        <c:axId val="712210687"/>
        <c:scaling>
          <c:orientation val="minMax"/>
        </c:scaling>
        <c:delete val="1"/>
        <c:axPos val="b"/>
        <c:numFmt formatCode="&quot;$&quot;\ #,##0.00" sourceLinked="1"/>
        <c:majorTickMark val="none"/>
        <c:minorTickMark val="none"/>
        <c:tickLblPos val="nextTo"/>
        <c:crossAx val="71220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9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12" Type="http://schemas.openxmlformats.org/officeDocument/2006/relationships/image" Target="../media/image8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11" Type="http://schemas.openxmlformats.org/officeDocument/2006/relationships/image" Target="../media/image7.png"/><Relationship Id="rId5" Type="http://schemas.openxmlformats.org/officeDocument/2006/relationships/image" Target="../media/image1.png"/><Relationship Id="rId10" Type="http://schemas.openxmlformats.org/officeDocument/2006/relationships/image" Target="../media/image6.png"/><Relationship Id="rId4" Type="http://schemas.openxmlformats.org/officeDocument/2006/relationships/chart" Target="../charts/chart4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42863</xdr:colOff>
      <xdr:row>0</xdr:row>
      <xdr:rowOff>176212</xdr:rowOff>
    </xdr:from>
    <xdr:to>
      <xdr:col>28</xdr:col>
      <xdr:colOff>452438</xdr:colOff>
      <xdr:row>71</xdr:row>
      <xdr:rowOff>119062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4D3697F3-AE7B-3541-93F8-5D39DCED1F2A}"/>
            </a:ext>
          </a:extLst>
        </xdr:cNvPr>
        <xdr:cNvSpPr/>
      </xdr:nvSpPr>
      <xdr:spPr>
        <a:xfrm>
          <a:off x="16259176" y="176212"/>
          <a:ext cx="17348200" cy="13468350"/>
        </a:xfrm>
        <a:prstGeom prst="rect">
          <a:avLst/>
        </a:prstGeom>
        <a:solidFill>
          <a:srgbClr val="1F4E7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42862</xdr:colOff>
      <xdr:row>0</xdr:row>
      <xdr:rowOff>176212</xdr:rowOff>
    </xdr:from>
    <xdr:to>
      <xdr:col>28</xdr:col>
      <xdr:colOff>452437</xdr:colOff>
      <xdr:row>6</xdr:row>
      <xdr:rowOff>176212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A1A49BAA-CAD0-5223-5AE3-F5D11C0C3C35}"/>
            </a:ext>
          </a:extLst>
        </xdr:cNvPr>
        <xdr:cNvSpPr/>
      </xdr:nvSpPr>
      <xdr:spPr>
        <a:xfrm>
          <a:off x="13818393" y="176212"/>
          <a:ext cx="17435513" cy="1143000"/>
        </a:xfrm>
        <a:prstGeom prst="roundRect">
          <a:avLst>
            <a:gd name="adj" fmla="val 3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DaDashboard Financiero</a:t>
          </a:r>
        </a:p>
      </xdr:txBody>
    </xdr:sp>
    <xdr:clientData/>
  </xdr:twoCellAnchor>
  <xdr:twoCellAnchor>
    <xdr:from>
      <xdr:col>17</xdr:col>
      <xdr:colOff>254000</xdr:colOff>
      <xdr:row>1</xdr:row>
      <xdr:rowOff>158750</xdr:rowOff>
    </xdr:from>
    <xdr:to>
      <xdr:col>21</xdr:col>
      <xdr:colOff>1502833</xdr:colOff>
      <xdr:row>5</xdr:row>
      <xdr:rowOff>127000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8C502327-0AE8-342F-D670-549A485415E9}"/>
            </a:ext>
          </a:extLst>
        </xdr:cNvPr>
        <xdr:cNvSpPr txBox="1"/>
      </xdr:nvSpPr>
      <xdr:spPr>
        <a:xfrm>
          <a:off x="13567833" y="349250"/>
          <a:ext cx="7429500" cy="7302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CO" sz="3200" b="1"/>
            <a:t>Dashboard Financiero</a:t>
          </a:r>
        </a:p>
      </xdr:txBody>
    </xdr:sp>
    <xdr:clientData/>
  </xdr:twoCellAnchor>
  <xdr:twoCellAnchor>
    <xdr:from>
      <xdr:col>17</xdr:col>
      <xdr:colOff>142875</xdr:colOff>
      <xdr:row>7</xdr:row>
      <xdr:rowOff>63500</xdr:rowOff>
    </xdr:from>
    <xdr:to>
      <xdr:col>28</xdr:col>
      <xdr:colOff>269875</xdr:colOff>
      <xdr:row>8</xdr:row>
      <xdr:rowOff>127000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61AC0557-E1EB-C923-8C1E-E07B83AB2BAD}"/>
            </a:ext>
          </a:extLst>
        </xdr:cNvPr>
        <xdr:cNvSpPr/>
      </xdr:nvSpPr>
      <xdr:spPr>
        <a:xfrm>
          <a:off x="16411575" y="1397000"/>
          <a:ext cx="17100550" cy="254000"/>
        </a:xfrm>
        <a:prstGeom prst="rect">
          <a:avLst/>
        </a:prstGeom>
        <a:solidFill>
          <a:schemeClr val="bg1"/>
        </a:solidFill>
        <a:ln w="28575">
          <a:solidFill>
            <a:sysClr val="windowText" lastClr="000000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174626</xdr:colOff>
      <xdr:row>8</xdr:row>
      <xdr:rowOff>169332</xdr:rowOff>
    </xdr:from>
    <xdr:to>
      <xdr:col>28</xdr:col>
      <xdr:colOff>238125</xdr:colOff>
      <xdr:row>16</xdr:row>
      <xdr:rowOff>158749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ACFE603C-CB5D-F681-61BC-0F4A97349645}"/>
            </a:ext>
          </a:extLst>
        </xdr:cNvPr>
        <xdr:cNvSpPr/>
      </xdr:nvSpPr>
      <xdr:spPr>
        <a:xfrm>
          <a:off x="13462001" y="1693332"/>
          <a:ext cx="17002124" cy="151341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423333</xdr:colOff>
      <xdr:row>7</xdr:row>
      <xdr:rowOff>74083</xdr:rowOff>
    </xdr:from>
    <xdr:to>
      <xdr:col>24</xdr:col>
      <xdr:colOff>1270000</xdr:colOff>
      <xdr:row>8</xdr:row>
      <xdr:rowOff>105833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B9F0831-EA9C-8080-E1D5-E279B340F655}"/>
            </a:ext>
          </a:extLst>
        </xdr:cNvPr>
        <xdr:cNvSpPr txBox="1"/>
      </xdr:nvSpPr>
      <xdr:spPr>
        <a:xfrm>
          <a:off x="18372666" y="1407583"/>
          <a:ext cx="7027334" cy="2222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200" b="1">
              <a:solidFill>
                <a:sysClr val="windowText" lastClr="000000"/>
              </a:solidFill>
            </a:rPr>
            <a:t>Filtros</a:t>
          </a:r>
        </a:p>
      </xdr:txBody>
    </xdr:sp>
    <xdr:clientData/>
  </xdr:twoCellAnchor>
  <xdr:twoCellAnchor editAs="oneCell">
    <xdr:from>
      <xdr:col>17</xdr:col>
      <xdr:colOff>190500</xdr:colOff>
      <xdr:row>8</xdr:row>
      <xdr:rowOff>180180</xdr:rowOff>
    </xdr:from>
    <xdr:to>
      <xdr:col>20</xdr:col>
      <xdr:colOff>1393031</xdr:colOff>
      <xdr:row>16</xdr:row>
      <xdr:rowOff>120649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Fecha">
              <a:extLst>
                <a:ext uri="{FF2B5EF4-FFF2-40B4-BE49-F238E27FC236}">
                  <a16:creationId xmlns:a16="http://schemas.microsoft.com/office/drawing/2014/main" id="{54DCA3F1-D936-A380-2374-B7B0DEC23D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59200" y="1704180"/>
              <a:ext cx="5831681" cy="14644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1430072</xdr:colOff>
      <xdr:row>8</xdr:row>
      <xdr:rowOff>186267</xdr:rowOff>
    </xdr:from>
    <xdr:to>
      <xdr:col>22</xdr:col>
      <xdr:colOff>920749</xdr:colOff>
      <xdr:row>16</xdr:row>
      <xdr:rowOff>138642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Tipo (Ingreso/Gasto)">
              <a:extLst>
                <a:ext uri="{FF2B5EF4-FFF2-40B4-BE49-F238E27FC236}">
                  <a16:creationId xmlns:a16="http://schemas.microsoft.com/office/drawing/2014/main" id="{412DACA8-9E91-679C-568A-8974662FE9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(Ingreso/Gasto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327922" y="1710267"/>
              <a:ext cx="2576778" cy="1476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952499</xdr:colOff>
      <xdr:row>8</xdr:row>
      <xdr:rowOff>186531</xdr:rowOff>
    </xdr:from>
    <xdr:to>
      <xdr:col>28</xdr:col>
      <xdr:colOff>222249</xdr:colOff>
      <xdr:row>16</xdr:row>
      <xdr:rowOff>130969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ategoría">
              <a:extLst>
                <a:ext uri="{FF2B5EF4-FFF2-40B4-BE49-F238E27FC236}">
                  <a16:creationId xmlns:a16="http://schemas.microsoft.com/office/drawing/2014/main" id="{3021723C-168D-3FB1-25BF-1EA053AAED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936450" y="1710531"/>
              <a:ext cx="8528049" cy="1468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17</xdr:col>
      <xdr:colOff>438150</xdr:colOff>
      <xdr:row>17</xdr:row>
      <xdr:rowOff>76200</xdr:rowOff>
    </xdr:from>
    <xdr:to>
      <xdr:col>19</xdr:col>
      <xdr:colOff>19050</xdr:colOff>
      <xdr:row>25</xdr:row>
      <xdr:rowOff>19050</xdr:rowOff>
    </xdr:to>
    <xdr:sp macro="" textlink="$M$52">
      <xdr:nvSpPr>
        <xdr:cNvPr id="31" name="Rectángulo 30">
          <a:extLst>
            <a:ext uri="{FF2B5EF4-FFF2-40B4-BE49-F238E27FC236}">
              <a16:creationId xmlns:a16="http://schemas.microsoft.com/office/drawing/2014/main" id="{B734A656-526C-4366-10D7-84FFFC9D2F72}"/>
            </a:ext>
          </a:extLst>
        </xdr:cNvPr>
        <xdr:cNvSpPr/>
      </xdr:nvSpPr>
      <xdr:spPr>
        <a:xfrm>
          <a:off x="16127186" y="3314700"/>
          <a:ext cx="2656114" cy="1466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C044BB96-2186-4BFB-9DD1-57863027A717}" type="TxLink">
            <a:rPr lang="en-US" sz="2000" b="0" i="0" u="none" strike="noStrike">
              <a:solidFill>
                <a:schemeClr val="tx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algn="ctr"/>
            <a:t>$ 293.130,58</a:t>
          </a:fld>
          <a:endParaRPr lang="es-CO" sz="2000">
            <a:solidFill>
              <a:schemeClr val="tx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19</xdr:col>
      <xdr:colOff>129540</xdr:colOff>
      <xdr:row>17</xdr:row>
      <xdr:rowOff>76200</xdr:rowOff>
    </xdr:from>
    <xdr:to>
      <xdr:col>20</xdr:col>
      <xdr:colOff>1253490</xdr:colOff>
      <xdr:row>25</xdr:row>
      <xdr:rowOff>19050</xdr:rowOff>
    </xdr:to>
    <xdr:sp macro="" textlink="$M$47">
      <xdr:nvSpPr>
        <xdr:cNvPr id="40" name="Rectángulo 39">
          <a:extLst>
            <a:ext uri="{FF2B5EF4-FFF2-40B4-BE49-F238E27FC236}">
              <a16:creationId xmlns:a16="http://schemas.microsoft.com/office/drawing/2014/main" id="{0D70B868-A041-41E3-B86D-6FBD44A466DF}"/>
            </a:ext>
          </a:extLst>
        </xdr:cNvPr>
        <xdr:cNvSpPr/>
      </xdr:nvSpPr>
      <xdr:spPr>
        <a:xfrm>
          <a:off x="19484340" y="3314700"/>
          <a:ext cx="2667000" cy="1466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8807DFE5-9DD1-4AF8-A220-9254162336DE}" type="TxLink">
            <a:rPr lang="en-US" sz="2000" b="0" i="0" u="none" strike="noStrike">
              <a:solidFill>
                <a:schemeClr val="tx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algn="ctr"/>
            <a:t>$ 94.887,87</a:t>
          </a:fld>
          <a:endParaRPr lang="es-CO" sz="2000">
            <a:solidFill>
              <a:schemeClr val="tx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20</xdr:col>
      <xdr:colOff>1363980</xdr:colOff>
      <xdr:row>17</xdr:row>
      <xdr:rowOff>76200</xdr:rowOff>
    </xdr:from>
    <xdr:to>
      <xdr:col>22</xdr:col>
      <xdr:colOff>944880</xdr:colOff>
      <xdr:row>25</xdr:row>
      <xdr:rowOff>19050</xdr:rowOff>
    </xdr:to>
    <xdr:sp macro="" textlink="$M$37">
      <xdr:nvSpPr>
        <xdr:cNvPr id="41" name="Rectángulo 40">
          <a:extLst>
            <a:ext uri="{FF2B5EF4-FFF2-40B4-BE49-F238E27FC236}">
              <a16:creationId xmlns:a16="http://schemas.microsoft.com/office/drawing/2014/main" id="{A881EC1F-C8C3-4DFA-AB9F-24DB2406EE07}"/>
            </a:ext>
          </a:extLst>
        </xdr:cNvPr>
        <xdr:cNvSpPr/>
      </xdr:nvSpPr>
      <xdr:spPr>
        <a:xfrm>
          <a:off x="22261830" y="3314700"/>
          <a:ext cx="2667000" cy="1466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2048CA2E-8586-4303-90E3-64BD6ED0E189}" type="TxLink">
            <a:rPr lang="en-US" sz="2000" b="0" i="0" u="none" strike="noStrike">
              <a:solidFill>
                <a:schemeClr val="tx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algn="ctr"/>
            <a:t>$ 9.771,02</a:t>
          </a:fld>
          <a:endParaRPr lang="es-CO" sz="2000" b="0">
            <a:solidFill>
              <a:schemeClr val="tx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22</xdr:col>
      <xdr:colOff>1055370</xdr:colOff>
      <xdr:row>17</xdr:row>
      <xdr:rowOff>76200</xdr:rowOff>
    </xdr:from>
    <xdr:to>
      <xdr:col>24</xdr:col>
      <xdr:colOff>636270</xdr:colOff>
      <xdr:row>25</xdr:row>
      <xdr:rowOff>19050</xdr:rowOff>
    </xdr:to>
    <xdr:sp macro="" textlink="$M$42">
      <xdr:nvSpPr>
        <xdr:cNvPr id="42" name="Rectángulo 41">
          <a:extLst>
            <a:ext uri="{FF2B5EF4-FFF2-40B4-BE49-F238E27FC236}">
              <a16:creationId xmlns:a16="http://schemas.microsoft.com/office/drawing/2014/main" id="{D84C940D-DB23-420C-987A-880F6FD2E8C6}"/>
            </a:ext>
          </a:extLst>
        </xdr:cNvPr>
        <xdr:cNvSpPr/>
      </xdr:nvSpPr>
      <xdr:spPr>
        <a:xfrm>
          <a:off x="25039320" y="3314700"/>
          <a:ext cx="2667000" cy="1466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2BB3CB97-1207-4023-B6B5-388F6896AE3C}" type="TxLink">
            <a:rPr lang="en-US" sz="2000" b="0" i="0" u="none" strike="noStrike">
              <a:solidFill>
                <a:schemeClr val="tx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algn="ctr"/>
            <a:t>$ 4.744,39</a:t>
          </a:fld>
          <a:endParaRPr lang="es-CO" sz="2000">
            <a:solidFill>
              <a:schemeClr val="tx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24</xdr:col>
      <xdr:colOff>746760</xdr:colOff>
      <xdr:row>17</xdr:row>
      <xdr:rowOff>76200</xdr:rowOff>
    </xdr:from>
    <xdr:to>
      <xdr:col>26</xdr:col>
      <xdr:colOff>327660</xdr:colOff>
      <xdr:row>25</xdr:row>
      <xdr:rowOff>19050</xdr:rowOff>
    </xdr:to>
    <xdr:sp macro="" textlink="$B$27">
      <xdr:nvSpPr>
        <xdr:cNvPr id="43" name="Rectángulo 42">
          <a:extLst>
            <a:ext uri="{FF2B5EF4-FFF2-40B4-BE49-F238E27FC236}">
              <a16:creationId xmlns:a16="http://schemas.microsoft.com/office/drawing/2014/main" id="{3C5706A4-64AD-40D9-8F30-DB20C4E101EF}"/>
            </a:ext>
          </a:extLst>
        </xdr:cNvPr>
        <xdr:cNvSpPr/>
      </xdr:nvSpPr>
      <xdr:spPr>
        <a:xfrm>
          <a:off x="27816810" y="3314700"/>
          <a:ext cx="2667000" cy="1466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827A9E2A-6B1C-4AFD-B58D-00FB034A3B9F}" type="TxLink">
            <a:rPr lang="en-US" sz="2000" b="0" i="0" u="none" strike="noStrike">
              <a:solidFill>
                <a:schemeClr val="tx1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algn="ctr"/>
            <a:t>98,71%</a:t>
          </a:fld>
          <a:endParaRPr lang="es-CO" sz="2000">
            <a:solidFill>
              <a:schemeClr val="tx1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26</xdr:col>
      <xdr:colOff>438150</xdr:colOff>
      <xdr:row>17</xdr:row>
      <xdr:rowOff>76200</xdr:rowOff>
    </xdr:from>
    <xdr:to>
      <xdr:col>28</xdr:col>
      <xdr:colOff>19050</xdr:colOff>
      <xdr:row>25</xdr:row>
      <xdr:rowOff>19050</xdr:rowOff>
    </xdr:to>
    <xdr:sp macro="" textlink="$B$28">
      <xdr:nvSpPr>
        <xdr:cNvPr id="44" name="Rectángulo 43">
          <a:extLst>
            <a:ext uri="{FF2B5EF4-FFF2-40B4-BE49-F238E27FC236}">
              <a16:creationId xmlns:a16="http://schemas.microsoft.com/office/drawing/2014/main" id="{6FD8127A-56D1-4B45-80D6-3205405DA436}"/>
            </a:ext>
          </a:extLst>
        </xdr:cNvPr>
        <xdr:cNvSpPr/>
      </xdr:nvSpPr>
      <xdr:spPr>
        <a:xfrm>
          <a:off x="30594300" y="3314700"/>
          <a:ext cx="2667000" cy="1466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7F42B1E5-F7B7-48CB-B79C-277CB89FA415}" type="TxLink">
            <a:rPr lang="en-US" sz="2000" b="0" i="0" u="none" strike="noStrike">
              <a:solidFill>
                <a:srgbClr val="000000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pPr algn="ctr"/>
            <a:t>3%</a:t>
          </a:fld>
          <a:endParaRPr lang="es-CO" sz="2000"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17</xdr:col>
      <xdr:colOff>133350</xdr:colOff>
      <xdr:row>26</xdr:row>
      <xdr:rowOff>19050</xdr:rowOff>
    </xdr:from>
    <xdr:to>
      <xdr:col>24</xdr:col>
      <xdr:colOff>1371600</xdr:colOff>
      <xdr:row>48</xdr:row>
      <xdr:rowOff>0</xdr:rowOff>
    </xdr:to>
    <xdr:sp macro="" textlink="">
      <xdr:nvSpPr>
        <xdr:cNvPr id="45" name="Rectángulo: esquinas redondeadas 44">
          <a:extLst>
            <a:ext uri="{FF2B5EF4-FFF2-40B4-BE49-F238E27FC236}">
              <a16:creationId xmlns:a16="http://schemas.microsoft.com/office/drawing/2014/main" id="{FEACB3F3-04F9-1557-6F5E-37B7312C8189}"/>
            </a:ext>
          </a:extLst>
        </xdr:cNvPr>
        <xdr:cNvSpPr/>
      </xdr:nvSpPr>
      <xdr:spPr>
        <a:xfrm>
          <a:off x="16402050" y="4972050"/>
          <a:ext cx="12039600" cy="4171950"/>
        </a:xfrm>
        <a:prstGeom prst="roundRect">
          <a:avLst>
            <a:gd name="adj" fmla="val 6923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24</xdr:col>
      <xdr:colOff>1447800</xdr:colOff>
      <xdr:row>25</xdr:row>
      <xdr:rowOff>171450</xdr:rowOff>
    </xdr:from>
    <xdr:to>
      <xdr:col>28</xdr:col>
      <xdr:colOff>304800</xdr:colOff>
      <xdr:row>48</xdr:row>
      <xdr:rowOff>57150</xdr:rowOff>
    </xdr:to>
    <xdr:sp macro="" textlink="">
      <xdr:nvSpPr>
        <xdr:cNvPr id="47" name="Rectángulo: esquinas redondeadas 46">
          <a:extLst>
            <a:ext uri="{FF2B5EF4-FFF2-40B4-BE49-F238E27FC236}">
              <a16:creationId xmlns:a16="http://schemas.microsoft.com/office/drawing/2014/main" id="{4EA2393C-1792-4B49-9439-A68398B9C719}"/>
            </a:ext>
          </a:extLst>
        </xdr:cNvPr>
        <xdr:cNvSpPr/>
      </xdr:nvSpPr>
      <xdr:spPr>
        <a:xfrm>
          <a:off x="28517850" y="4933950"/>
          <a:ext cx="5029200" cy="4267200"/>
        </a:xfrm>
        <a:prstGeom prst="roundRect">
          <a:avLst>
            <a:gd name="adj" fmla="val 6923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190500</xdr:colOff>
      <xdr:row>48</xdr:row>
      <xdr:rowOff>133350</xdr:rowOff>
    </xdr:from>
    <xdr:to>
      <xdr:col>22</xdr:col>
      <xdr:colOff>971550</xdr:colOff>
      <xdr:row>71</xdr:row>
      <xdr:rowOff>19050</xdr:rowOff>
    </xdr:to>
    <xdr:sp macro="" textlink="">
      <xdr:nvSpPr>
        <xdr:cNvPr id="48" name="Rectángulo: esquinas redondeadas 47">
          <a:extLst>
            <a:ext uri="{FF2B5EF4-FFF2-40B4-BE49-F238E27FC236}">
              <a16:creationId xmlns:a16="http://schemas.microsoft.com/office/drawing/2014/main" id="{02ADE8FD-AAC2-4FF9-8C94-EE7233639415}"/>
            </a:ext>
          </a:extLst>
        </xdr:cNvPr>
        <xdr:cNvSpPr/>
      </xdr:nvSpPr>
      <xdr:spPr>
        <a:xfrm>
          <a:off x="16459200" y="9277350"/>
          <a:ext cx="8496300" cy="4267200"/>
        </a:xfrm>
        <a:prstGeom prst="roundRect">
          <a:avLst>
            <a:gd name="adj" fmla="val 6923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22</xdr:col>
      <xdr:colOff>1047750</xdr:colOff>
      <xdr:row>48</xdr:row>
      <xdr:rowOff>114300</xdr:rowOff>
    </xdr:from>
    <xdr:to>
      <xdr:col>28</xdr:col>
      <xdr:colOff>266700</xdr:colOff>
      <xdr:row>71</xdr:row>
      <xdr:rowOff>0</xdr:rowOff>
    </xdr:to>
    <xdr:sp macro="" textlink="">
      <xdr:nvSpPr>
        <xdr:cNvPr id="52" name="Rectángulo: esquinas redondeadas 51">
          <a:extLst>
            <a:ext uri="{FF2B5EF4-FFF2-40B4-BE49-F238E27FC236}">
              <a16:creationId xmlns:a16="http://schemas.microsoft.com/office/drawing/2014/main" id="{140A4901-9C0F-4F31-A051-6938F8579356}"/>
            </a:ext>
          </a:extLst>
        </xdr:cNvPr>
        <xdr:cNvSpPr/>
      </xdr:nvSpPr>
      <xdr:spPr>
        <a:xfrm>
          <a:off x="25031700" y="9258300"/>
          <a:ext cx="8477250" cy="4267200"/>
        </a:xfrm>
        <a:prstGeom prst="roundRect">
          <a:avLst>
            <a:gd name="adj" fmla="val 6923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247650</xdr:colOff>
      <xdr:row>27</xdr:row>
      <xdr:rowOff>38100</xdr:rowOff>
    </xdr:from>
    <xdr:to>
      <xdr:col>24</xdr:col>
      <xdr:colOff>1162050</xdr:colOff>
      <xdr:row>46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28D0100-C8A1-A850-02A8-2BE069F32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35718</xdr:colOff>
      <xdr:row>26</xdr:row>
      <xdr:rowOff>152400</xdr:rowOff>
    </xdr:from>
    <xdr:to>
      <xdr:col>28</xdr:col>
      <xdr:colOff>175417</xdr:colOff>
      <xdr:row>47</xdr:row>
      <xdr:rowOff>83344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085AF8F-ABCA-79D2-31AF-C493842F4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295274</xdr:colOff>
      <xdr:row>49</xdr:row>
      <xdr:rowOff>133350</xdr:rowOff>
    </xdr:from>
    <xdr:to>
      <xdr:col>22</xdr:col>
      <xdr:colOff>859631</xdr:colOff>
      <xdr:row>70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A921FB-86E4-F79D-F134-A05B7E0DC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1200150</xdr:colOff>
      <xdr:row>49</xdr:row>
      <xdr:rowOff>114300</xdr:rowOff>
    </xdr:from>
    <xdr:to>
      <xdr:col>28</xdr:col>
      <xdr:colOff>171450</xdr:colOff>
      <xdr:row>70</xdr:row>
      <xdr:rowOff>-1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1567344-3136-AE23-5D81-F6261EFA2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523875</xdr:colOff>
      <xdr:row>17</xdr:row>
      <xdr:rowOff>120763</xdr:rowOff>
    </xdr:from>
    <xdr:to>
      <xdr:col>18</xdr:col>
      <xdr:colOff>1512093</xdr:colOff>
      <xdr:row>19</xdr:row>
      <xdr:rowOff>168389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83ED9C0-8BCE-5D78-CB06-6C7FC3ED34EF}"/>
            </a:ext>
          </a:extLst>
        </xdr:cNvPr>
        <xdr:cNvSpPr txBox="1"/>
      </xdr:nvSpPr>
      <xdr:spPr>
        <a:xfrm>
          <a:off x="16212911" y="3359263"/>
          <a:ext cx="2525825" cy="42862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000" b="1">
              <a:solidFill>
                <a:schemeClr val="tx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Total ingresos</a:t>
          </a:r>
        </a:p>
      </xdr:txBody>
    </xdr:sp>
    <xdr:clientData/>
  </xdr:twoCellAnchor>
  <xdr:twoCellAnchor editAs="oneCell">
    <xdr:from>
      <xdr:col>27</xdr:col>
      <xdr:colOff>775608</xdr:colOff>
      <xdr:row>0</xdr:row>
      <xdr:rowOff>173490</xdr:rowOff>
    </xdr:from>
    <xdr:to>
      <xdr:col>28</xdr:col>
      <xdr:colOff>421821</xdr:colOff>
      <xdr:row>7</xdr:row>
      <xdr:rowOff>20301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F99552A-340A-2A18-B522-176BB455C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40715" y="173490"/>
          <a:ext cx="1183821" cy="1180311"/>
        </a:xfrm>
        <a:prstGeom prst="rect">
          <a:avLst/>
        </a:prstGeom>
      </xdr:spPr>
    </xdr:pic>
    <xdr:clientData/>
  </xdr:twoCellAnchor>
  <xdr:twoCellAnchor editAs="oneCell">
    <xdr:from>
      <xdr:col>26</xdr:col>
      <xdr:colOff>1088572</xdr:colOff>
      <xdr:row>0</xdr:row>
      <xdr:rowOff>136072</xdr:rowOff>
    </xdr:from>
    <xdr:to>
      <xdr:col>27</xdr:col>
      <xdr:colOff>721179</xdr:colOff>
      <xdr:row>6</xdr:row>
      <xdr:rowOff>163286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7F2A8D2-FCEF-B0D1-987B-A0B857A14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16072" y="136072"/>
          <a:ext cx="1170214" cy="1170214"/>
        </a:xfrm>
        <a:prstGeom prst="rect">
          <a:avLst/>
        </a:prstGeom>
      </xdr:spPr>
    </xdr:pic>
    <xdr:clientData/>
  </xdr:twoCellAnchor>
  <xdr:twoCellAnchor editAs="oneCell">
    <xdr:from>
      <xdr:col>25</xdr:col>
      <xdr:colOff>1483179</xdr:colOff>
      <xdr:row>1</xdr:row>
      <xdr:rowOff>81642</xdr:rowOff>
    </xdr:from>
    <xdr:to>
      <xdr:col>26</xdr:col>
      <xdr:colOff>993322</xdr:colOff>
      <xdr:row>6</xdr:row>
      <xdr:rowOff>176892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24D8C70-F1F3-C8BE-1D43-E508F1C1D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73072" y="272142"/>
          <a:ext cx="1047750" cy="1047750"/>
        </a:xfrm>
        <a:prstGeom prst="rect">
          <a:avLst/>
        </a:prstGeom>
      </xdr:spPr>
    </xdr:pic>
    <xdr:clientData/>
  </xdr:twoCellAnchor>
  <xdr:twoCellAnchor editAs="oneCell">
    <xdr:from>
      <xdr:col>17</xdr:col>
      <xdr:colOff>1455963</xdr:colOff>
      <xdr:row>19</xdr:row>
      <xdr:rowOff>108858</xdr:rowOff>
    </xdr:from>
    <xdr:to>
      <xdr:col>18</xdr:col>
      <xdr:colOff>585105</xdr:colOff>
      <xdr:row>23</xdr:row>
      <xdr:rowOff>13607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C6A41C9E-4441-507A-FA13-14A7B5E8F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99" y="3728358"/>
          <a:ext cx="666749" cy="666749"/>
        </a:xfrm>
        <a:prstGeom prst="rect">
          <a:avLst/>
        </a:prstGeom>
      </xdr:spPr>
    </xdr:pic>
    <xdr:clientData/>
  </xdr:twoCellAnchor>
  <xdr:twoCellAnchor>
    <xdr:from>
      <xdr:col>19</xdr:col>
      <xdr:colOff>243839</xdr:colOff>
      <xdr:row>17</xdr:row>
      <xdr:rowOff>117022</xdr:rowOff>
    </xdr:from>
    <xdr:to>
      <xdr:col>20</xdr:col>
      <xdr:colOff>1232057</xdr:colOff>
      <xdr:row>19</xdr:row>
      <xdr:rowOff>164648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53A249A6-057A-4F04-8F58-E1CDB85FBDD9}"/>
            </a:ext>
          </a:extLst>
        </xdr:cNvPr>
        <xdr:cNvSpPr txBox="1"/>
      </xdr:nvSpPr>
      <xdr:spPr>
        <a:xfrm>
          <a:off x="19008089" y="3355522"/>
          <a:ext cx="2525825" cy="42862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000" b="1">
              <a:solidFill>
                <a:schemeClr val="tx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Total Gastos</a:t>
          </a:r>
        </a:p>
      </xdr:txBody>
    </xdr:sp>
    <xdr:clientData/>
  </xdr:twoCellAnchor>
  <xdr:twoCellAnchor editAs="oneCell">
    <xdr:from>
      <xdr:col>19</xdr:col>
      <xdr:colOff>1102179</xdr:colOff>
      <xdr:row>18</xdr:row>
      <xdr:rowOff>176893</xdr:rowOff>
    </xdr:from>
    <xdr:to>
      <xdr:col>20</xdr:col>
      <xdr:colOff>408215</xdr:colOff>
      <xdr:row>23</xdr:row>
      <xdr:rowOff>68036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8BCEE566-D308-F369-735E-FB4B0B49E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66429" y="3605893"/>
          <a:ext cx="843643" cy="843643"/>
        </a:xfrm>
        <a:prstGeom prst="rect">
          <a:avLst/>
        </a:prstGeom>
      </xdr:spPr>
    </xdr:pic>
    <xdr:clientData/>
  </xdr:twoCellAnchor>
  <xdr:twoCellAnchor>
    <xdr:from>
      <xdr:col>20</xdr:col>
      <xdr:colOff>1456508</xdr:colOff>
      <xdr:row>17</xdr:row>
      <xdr:rowOff>103413</xdr:rowOff>
    </xdr:from>
    <xdr:to>
      <xdr:col>22</xdr:col>
      <xdr:colOff>907119</xdr:colOff>
      <xdr:row>22</xdr:row>
      <xdr:rowOff>81643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3EDBFF83-420D-4D39-B7FB-EB1C245B6123}"/>
            </a:ext>
          </a:extLst>
        </xdr:cNvPr>
        <xdr:cNvSpPr txBox="1"/>
      </xdr:nvSpPr>
      <xdr:spPr>
        <a:xfrm>
          <a:off x="21758365" y="3341913"/>
          <a:ext cx="2525825" cy="9307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800" b="1">
              <a:solidFill>
                <a:schemeClr val="tx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Promedio</a:t>
          </a:r>
          <a:r>
            <a:rPr lang="es-CO" sz="1800" b="1" baseline="0">
              <a:solidFill>
                <a:schemeClr val="tx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mesual de ingresos</a:t>
          </a:r>
          <a:endParaRPr lang="es-CO" sz="1800" b="1">
            <a:solidFill>
              <a:schemeClr val="tx2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oneCell">
    <xdr:from>
      <xdr:col>20</xdr:col>
      <xdr:colOff>1401537</xdr:colOff>
      <xdr:row>21</xdr:row>
      <xdr:rowOff>149678</xdr:rowOff>
    </xdr:from>
    <xdr:to>
      <xdr:col>21</xdr:col>
      <xdr:colOff>435429</xdr:colOff>
      <xdr:row>24</xdr:row>
      <xdr:rowOff>149678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1482A913-C207-4E49-912F-65E3B7FC5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03394" y="4150178"/>
          <a:ext cx="571500" cy="571500"/>
        </a:xfrm>
        <a:prstGeom prst="rect">
          <a:avLst/>
        </a:prstGeom>
      </xdr:spPr>
    </xdr:pic>
    <xdr:clientData/>
  </xdr:twoCellAnchor>
  <xdr:twoCellAnchor>
    <xdr:from>
      <xdr:col>22</xdr:col>
      <xdr:colOff>1119051</xdr:colOff>
      <xdr:row>17</xdr:row>
      <xdr:rowOff>78920</xdr:rowOff>
    </xdr:from>
    <xdr:to>
      <xdr:col>24</xdr:col>
      <xdr:colOff>569661</xdr:colOff>
      <xdr:row>22</xdr:row>
      <xdr:rowOff>57150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B6F0483A-EC51-429F-831E-24E2804568AA}"/>
            </a:ext>
          </a:extLst>
        </xdr:cNvPr>
        <xdr:cNvSpPr txBox="1"/>
      </xdr:nvSpPr>
      <xdr:spPr>
        <a:xfrm>
          <a:off x="24496122" y="3317420"/>
          <a:ext cx="2525825" cy="9307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800" b="1">
              <a:solidFill>
                <a:schemeClr val="tx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Promedio</a:t>
          </a:r>
          <a:r>
            <a:rPr lang="es-CO" sz="1800" b="1" baseline="0">
              <a:solidFill>
                <a:schemeClr val="tx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mesual de gastos</a:t>
          </a:r>
          <a:endParaRPr lang="es-CO" sz="1800" b="1">
            <a:solidFill>
              <a:schemeClr val="tx2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oneCell">
    <xdr:from>
      <xdr:col>22</xdr:col>
      <xdr:colOff>1074964</xdr:colOff>
      <xdr:row>21</xdr:row>
      <xdr:rowOff>163285</xdr:rowOff>
    </xdr:from>
    <xdr:to>
      <xdr:col>23</xdr:col>
      <xdr:colOff>136073</xdr:colOff>
      <xdr:row>25</xdr:row>
      <xdr:rowOff>1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E885A1A3-4666-4102-A528-FE263A2EF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52035" y="4163785"/>
          <a:ext cx="598716" cy="598716"/>
        </a:xfrm>
        <a:prstGeom prst="rect">
          <a:avLst/>
        </a:prstGeom>
      </xdr:spPr>
    </xdr:pic>
    <xdr:clientData/>
  </xdr:twoCellAnchor>
  <xdr:twoCellAnchor>
    <xdr:from>
      <xdr:col>24</xdr:col>
      <xdr:colOff>833300</xdr:colOff>
      <xdr:row>17</xdr:row>
      <xdr:rowOff>51705</xdr:rowOff>
    </xdr:from>
    <xdr:to>
      <xdr:col>26</xdr:col>
      <xdr:colOff>283910</xdr:colOff>
      <xdr:row>19</xdr:row>
      <xdr:rowOff>163286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6778085D-4562-46A1-AD97-A18FEB20C5C9}"/>
            </a:ext>
          </a:extLst>
        </xdr:cNvPr>
        <xdr:cNvSpPr txBox="1"/>
      </xdr:nvSpPr>
      <xdr:spPr>
        <a:xfrm>
          <a:off x="27584943" y="3290205"/>
          <a:ext cx="2525824" cy="49258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000" b="1" baseline="0">
              <a:solidFill>
                <a:schemeClr val="tx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% Gastos fijos</a:t>
          </a:r>
          <a:endParaRPr lang="es-CO" sz="2000" b="1">
            <a:solidFill>
              <a:schemeClr val="tx2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oneCell">
    <xdr:from>
      <xdr:col>25</xdr:col>
      <xdr:colOff>163287</xdr:colOff>
      <xdr:row>19</xdr:row>
      <xdr:rowOff>81643</xdr:rowOff>
    </xdr:from>
    <xdr:to>
      <xdr:col>25</xdr:col>
      <xdr:colOff>898070</xdr:colOff>
      <xdr:row>22</xdr:row>
      <xdr:rowOff>189818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320ADF92-93E5-D599-ABAE-6578C56B23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19" t="16819" r="14097" b="14122"/>
        <a:stretch>
          <a:fillRect/>
        </a:stretch>
      </xdr:blipFill>
      <xdr:spPr>
        <a:xfrm>
          <a:off x="30058180" y="3701143"/>
          <a:ext cx="734783" cy="679675"/>
        </a:xfrm>
        <a:prstGeom prst="rect">
          <a:avLst/>
        </a:prstGeom>
      </xdr:spPr>
    </xdr:pic>
    <xdr:clientData/>
  </xdr:twoCellAnchor>
  <xdr:twoCellAnchor>
    <xdr:from>
      <xdr:col>26</xdr:col>
      <xdr:colOff>454479</xdr:colOff>
      <xdr:row>17</xdr:row>
      <xdr:rowOff>103414</xdr:rowOff>
    </xdr:from>
    <xdr:to>
      <xdr:col>27</xdr:col>
      <xdr:colOff>1442696</xdr:colOff>
      <xdr:row>20</xdr:row>
      <xdr:rowOff>24495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B5F1F339-8B45-466D-B62E-DF817CB91B4F}"/>
            </a:ext>
          </a:extLst>
        </xdr:cNvPr>
        <xdr:cNvSpPr txBox="1"/>
      </xdr:nvSpPr>
      <xdr:spPr>
        <a:xfrm>
          <a:off x="31886979" y="3341914"/>
          <a:ext cx="2525824" cy="49258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000" b="1" baseline="0">
              <a:solidFill>
                <a:schemeClr val="tx2"/>
              </a:solidFill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% Gastos variables</a:t>
          </a:r>
          <a:endParaRPr lang="es-CO" sz="2000" b="1">
            <a:solidFill>
              <a:schemeClr val="tx2"/>
            </a:solidFill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 editAs="oneCell">
    <xdr:from>
      <xdr:col>26</xdr:col>
      <xdr:colOff>1333501</xdr:colOff>
      <xdr:row>19</xdr:row>
      <xdr:rowOff>108857</xdr:rowOff>
    </xdr:from>
    <xdr:to>
      <xdr:col>27</xdr:col>
      <xdr:colOff>625929</xdr:colOff>
      <xdr:row>23</xdr:row>
      <xdr:rowOff>45140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6D8A26CC-96C2-BAA2-D715-3D242E695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11" t="16451" r="11421" b="22721"/>
        <a:stretch>
          <a:fillRect/>
        </a:stretch>
      </xdr:blipFill>
      <xdr:spPr>
        <a:xfrm>
          <a:off x="32766001" y="3728357"/>
          <a:ext cx="830035" cy="69828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79.790649884257" createdVersion="8" refreshedVersion="8" minRefreshableVersion="3" recordCount="50" xr:uid="{11532930-DA46-4B39-9301-BCF042A3D2E9}">
  <cacheSource type="worksheet">
    <worksheetSource name="Concentrado"/>
  </cacheSource>
  <cacheFields count="11">
    <cacheField name="Fecha" numFmtId="14">
      <sharedItems containsSemiMixedTypes="0" containsNonDate="0" containsDate="1" containsString="0" minDate="2025-06-02T00:00:00" maxDate="2025-08-31T00:00:00" count="35">
        <d v="2025-07-27T00:00:00"/>
        <d v="2025-07-12T00:00:00"/>
        <d v="2025-08-12T00:00:00"/>
        <d v="2025-08-17T00:00:00"/>
        <d v="2025-06-13T00:00:00"/>
        <d v="2025-07-03T00:00:00"/>
        <d v="2025-06-14T00:00:00"/>
        <d v="2025-08-29T00:00:00"/>
        <d v="2025-08-11T00:00:00"/>
        <d v="2025-08-21T00:00:00"/>
        <d v="2025-06-04T00:00:00"/>
        <d v="2025-07-28T00:00:00"/>
        <d v="2025-08-05T00:00:00"/>
        <d v="2025-07-16T00:00:00"/>
        <d v="2025-06-30T00:00:00"/>
        <d v="2025-08-18T00:00:00"/>
        <d v="2025-08-13T00:00:00"/>
        <d v="2025-08-01T00:00:00"/>
        <d v="2025-08-15T00:00:00"/>
        <d v="2025-07-30T00:00:00"/>
        <d v="2025-06-16T00:00:00"/>
        <d v="2025-08-16T00:00:00"/>
        <d v="2025-07-15T00:00:00"/>
        <d v="2025-06-02T00:00:00"/>
        <d v="2025-07-06T00:00:00"/>
        <d v="2025-07-07T00:00:00"/>
        <d v="2025-08-20T00:00:00"/>
        <d v="2025-07-10T00:00:00"/>
        <d v="2025-06-24T00:00:00"/>
        <d v="2025-06-05T00:00:00"/>
        <d v="2025-08-22T00:00:00"/>
        <d v="2025-08-06T00:00:00"/>
        <d v="2025-08-14T00:00:00"/>
        <d v="2025-08-30T00:00:00"/>
        <d v="2025-06-08T00:00:00"/>
      </sharedItems>
    </cacheField>
    <cacheField name="MES" numFmtId="0">
      <sharedItems count="3">
        <s v="julio"/>
        <s v="agosto"/>
        <s v="junio"/>
      </sharedItems>
    </cacheField>
    <cacheField name="Categoría" numFmtId="0">
      <sharedItems count="7">
        <s v="Ingresos"/>
        <s v="Entretenimiento"/>
        <s v="Transporte"/>
        <s v="Educación"/>
        <s v="Personales"/>
        <s v="Vivienda"/>
        <s v="Salud"/>
      </sharedItems>
    </cacheField>
    <cacheField name=" Subcategoría" numFmtId="0">
      <sharedItems count="19">
        <s v="Bonificación"/>
        <s v="Freelance"/>
        <s v="Reembolso"/>
        <s v="Regalo"/>
        <s v="Sueldo"/>
        <s v="Venta de segunda mano"/>
        <s v="Spotify"/>
        <s v="Eventos"/>
        <s v="Gasolina"/>
        <s v="Libros"/>
        <s v="Cursos online"/>
        <s v="Regalos"/>
        <s v="Netflix"/>
        <s v="Servicios (agua, luz, gas)"/>
        <s v="Consultas médicas"/>
        <s v="Ropa"/>
        <s v="Cuidado personal"/>
        <s v="Uber"/>
        <s v="Renta"/>
      </sharedItems>
    </cacheField>
    <cacheField name="Descripción" numFmtId="0">
      <sharedItems/>
    </cacheField>
    <cacheField name="Tipo (Ingreso/Gasto)" numFmtId="0">
      <sharedItems count="2">
        <s v="Ingreso"/>
        <s v="Gasto"/>
      </sharedItems>
    </cacheField>
    <cacheField name="Monto" numFmtId="164">
      <sharedItems containsSemiMixedTypes="0" containsString="0" containsNumber="1" minValue="1045.26" maxValue="14752.93"/>
    </cacheField>
    <cacheField name="Forma de pago" numFmtId="0">
      <sharedItems count="6">
        <s v="Efectivo"/>
        <s v="Transferencia"/>
        <s v="Depósito"/>
        <s v="PayPal"/>
        <s v="Tarjeta de crédito"/>
        <s v="Débito"/>
      </sharedItems>
    </cacheField>
    <cacheField name="¿Es gasto fijo o variable?" numFmtId="0">
      <sharedItems count="2">
        <s v="Variable"/>
        <s v="Fijo"/>
      </sharedItems>
    </cacheField>
    <cacheField name="¿Es necesario o prescindible?" numFmtId="0">
      <sharedItems/>
    </cacheField>
    <cacheField name="¿Fue planeado o imprevisto?" numFmtId="0">
      <sharedItems/>
    </cacheField>
  </cacheFields>
  <extLst>
    <ext xmlns:x14="http://schemas.microsoft.com/office/spreadsheetml/2009/9/main" uri="{725AE2AE-9491-48be-B2B4-4EB974FC3084}">
      <x14:pivotCacheDefinition pivotCacheId="172000890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x v="0"/>
    <s v="Bonificación por buen desempeño"/>
    <x v="0"/>
    <n v="6238.82"/>
    <x v="0"/>
    <x v="0"/>
    <s v="Extra"/>
    <s v="Inesperado"/>
  </r>
  <r>
    <x v="1"/>
    <x v="0"/>
    <x v="0"/>
    <x v="0"/>
    <s v="Bonificación por buen desempeño"/>
    <x v="0"/>
    <n v="9223.4599999999991"/>
    <x v="1"/>
    <x v="0"/>
    <s v="Extra"/>
    <s v="Inesperado"/>
  </r>
  <r>
    <x v="2"/>
    <x v="1"/>
    <x v="0"/>
    <x v="0"/>
    <s v="Bonificación por buen desempeño"/>
    <x v="0"/>
    <n v="13815.57"/>
    <x v="0"/>
    <x v="0"/>
    <s v="Extra"/>
    <s v="Inesperado"/>
  </r>
  <r>
    <x v="2"/>
    <x v="1"/>
    <x v="0"/>
    <x v="0"/>
    <s v="Bonificación por buen desempeño"/>
    <x v="0"/>
    <n v="11235.95"/>
    <x v="2"/>
    <x v="0"/>
    <s v="Extra"/>
    <s v="Inesperado"/>
  </r>
  <r>
    <x v="3"/>
    <x v="1"/>
    <x v="0"/>
    <x v="1"/>
    <s v="Proyecto freelance UX para startup"/>
    <x v="0"/>
    <n v="8653.64"/>
    <x v="3"/>
    <x v="0"/>
    <s v="Extra"/>
    <s v="Planeado"/>
  </r>
  <r>
    <x v="4"/>
    <x v="2"/>
    <x v="0"/>
    <x v="1"/>
    <s v="Proyecto freelance UX para startup"/>
    <x v="0"/>
    <n v="14446.97"/>
    <x v="2"/>
    <x v="0"/>
    <s v="Extra"/>
    <s v="Planeado"/>
  </r>
  <r>
    <x v="5"/>
    <x v="0"/>
    <x v="0"/>
    <x v="1"/>
    <s v="Proyecto freelance UX para startup"/>
    <x v="0"/>
    <n v="14344.57"/>
    <x v="1"/>
    <x v="0"/>
    <s v="Extra"/>
    <s v="Planeado"/>
  </r>
  <r>
    <x v="6"/>
    <x v="2"/>
    <x v="0"/>
    <x v="1"/>
    <s v="Proyecto freelance UX para startup"/>
    <x v="0"/>
    <n v="7359.87"/>
    <x v="1"/>
    <x v="0"/>
    <s v="Extra"/>
    <s v="Planeado"/>
  </r>
  <r>
    <x v="7"/>
    <x v="1"/>
    <x v="0"/>
    <x v="1"/>
    <s v="Proyecto freelance UX para startup"/>
    <x v="0"/>
    <n v="10491.97"/>
    <x v="3"/>
    <x v="0"/>
    <s v="Extra"/>
    <s v="Planeado"/>
  </r>
  <r>
    <x v="8"/>
    <x v="1"/>
    <x v="0"/>
    <x v="1"/>
    <s v="Proyecto freelance UX para startup"/>
    <x v="0"/>
    <n v="8250.8700000000008"/>
    <x v="3"/>
    <x v="0"/>
    <s v="Extra"/>
    <s v="Planeado"/>
  </r>
  <r>
    <x v="9"/>
    <x v="1"/>
    <x v="0"/>
    <x v="1"/>
    <s v="Proyecto freelance UX para startup"/>
    <x v="0"/>
    <n v="6907.62"/>
    <x v="1"/>
    <x v="0"/>
    <s v="Extra"/>
    <s v="Planeado"/>
  </r>
  <r>
    <x v="10"/>
    <x v="2"/>
    <x v="0"/>
    <x v="2"/>
    <s v="Reembolso por gastos de trabajo"/>
    <x v="0"/>
    <n v="5186.5200000000004"/>
    <x v="2"/>
    <x v="0"/>
    <s v="Necesario"/>
    <s v="Planeado"/>
  </r>
  <r>
    <x v="11"/>
    <x v="0"/>
    <x v="0"/>
    <x v="2"/>
    <s v="Reembolso por gastos de trabajo"/>
    <x v="0"/>
    <n v="6813.92"/>
    <x v="1"/>
    <x v="0"/>
    <s v="Necesario"/>
    <s v="Planeado"/>
  </r>
  <r>
    <x v="12"/>
    <x v="1"/>
    <x v="0"/>
    <x v="2"/>
    <s v="Reembolso por gastos de trabajo"/>
    <x v="0"/>
    <n v="9078.76"/>
    <x v="1"/>
    <x v="0"/>
    <s v="Necesario"/>
    <s v="Planeado"/>
  </r>
  <r>
    <x v="4"/>
    <x v="2"/>
    <x v="0"/>
    <x v="3"/>
    <s v="Regalo de cumpleaños de papás"/>
    <x v="0"/>
    <n v="5277.97"/>
    <x v="0"/>
    <x v="0"/>
    <s v="Extra"/>
    <s v="Inesperado"/>
  </r>
  <r>
    <x v="13"/>
    <x v="0"/>
    <x v="0"/>
    <x v="3"/>
    <s v="Regalo de cumpleaños de papás"/>
    <x v="0"/>
    <n v="14752.93"/>
    <x v="1"/>
    <x v="0"/>
    <s v="Extra"/>
    <s v="Inesperado"/>
  </r>
  <r>
    <x v="14"/>
    <x v="2"/>
    <x v="0"/>
    <x v="3"/>
    <s v="Regalo de cumpleaños de papás"/>
    <x v="0"/>
    <n v="13517.93"/>
    <x v="0"/>
    <x v="0"/>
    <s v="Extra"/>
    <s v="Inesperado"/>
  </r>
  <r>
    <x v="15"/>
    <x v="1"/>
    <x v="0"/>
    <x v="3"/>
    <s v="Regalo de cumpleaños de papás"/>
    <x v="0"/>
    <n v="14416.72"/>
    <x v="3"/>
    <x v="0"/>
    <s v="Extra"/>
    <s v="Inesperado"/>
  </r>
  <r>
    <x v="16"/>
    <x v="1"/>
    <x v="0"/>
    <x v="3"/>
    <s v="Regalo de cumpleaños de papás"/>
    <x v="0"/>
    <n v="9130.65"/>
    <x v="2"/>
    <x v="0"/>
    <s v="Extra"/>
    <s v="Inesperado"/>
  </r>
  <r>
    <x v="17"/>
    <x v="1"/>
    <x v="0"/>
    <x v="3"/>
    <s v="Regalo de cumpleaños de papás"/>
    <x v="0"/>
    <n v="7730.61"/>
    <x v="0"/>
    <x v="0"/>
    <s v="Extra"/>
    <s v="Inesperado"/>
  </r>
  <r>
    <x v="9"/>
    <x v="1"/>
    <x v="0"/>
    <x v="3"/>
    <s v="Regalo de cumpleaños de papás"/>
    <x v="0"/>
    <n v="13180.41"/>
    <x v="1"/>
    <x v="0"/>
    <s v="Extra"/>
    <s v="Inesperado"/>
  </r>
  <r>
    <x v="18"/>
    <x v="1"/>
    <x v="0"/>
    <x v="4"/>
    <s v="Pago mensual empresa UXCorp"/>
    <x v="0"/>
    <n v="10535.04"/>
    <x v="2"/>
    <x v="1"/>
    <s v="Necesario"/>
    <s v="Planeado"/>
  </r>
  <r>
    <x v="18"/>
    <x v="1"/>
    <x v="0"/>
    <x v="4"/>
    <s v="Pago mensual empresa UXCorp"/>
    <x v="0"/>
    <n v="6902.87"/>
    <x v="0"/>
    <x v="1"/>
    <s v="Necesario"/>
    <s v="Planeado"/>
  </r>
  <r>
    <x v="12"/>
    <x v="1"/>
    <x v="0"/>
    <x v="4"/>
    <s v="Pago mensual empresa UXCorp"/>
    <x v="0"/>
    <n v="11141.52"/>
    <x v="2"/>
    <x v="1"/>
    <s v="Necesario"/>
    <s v="Planeado"/>
  </r>
  <r>
    <x v="19"/>
    <x v="0"/>
    <x v="0"/>
    <x v="4"/>
    <s v="Pago mensual empresa UXCorp"/>
    <x v="0"/>
    <n v="9452.94"/>
    <x v="0"/>
    <x v="1"/>
    <s v="Necesario"/>
    <s v="Planeado"/>
  </r>
  <r>
    <x v="20"/>
    <x v="2"/>
    <x v="0"/>
    <x v="4"/>
    <s v="Pago mensual empresa UXCorp"/>
    <x v="0"/>
    <n v="11378.05"/>
    <x v="2"/>
    <x v="1"/>
    <s v="Necesario"/>
    <s v="Planeado"/>
  </r>
  <r>
    <x v="21"/>
    <x v="1"/>
    <x v="0"/>
    <x v="5"/>
    <s v="Venta de ropa y gadgets usados"/>
    <x v="0"/>
    <n v="6500.13"/>
    <x v="3"/>
    <x v="0"/>
    <s v="Extra"/>
    <s v="Inesperado"/>
  </r>
  <r>
    <x v="18"/>
    <x v="1"/>
    <x v="0"/>
    <x v="5"/>
    <s v="Venta de ropa y gadgets usados"/>
    <x v="0"/>
    <n v="7824.62"/>
    <x v="0"/>
    <x v="0"/>
    <s v="Extra"/>
    <s v="Inesperado"/>
  </r>
  <r>
    <x v="0"/>
    <x v="0"/>
    <x v="0"/>
    <x v="5"/>
    <s v="Venta de ropa y gadgets usados"/>
    <x v="0"/>
    <n v="13807.26"/>
    <x v="1"/>
    <x v="0"/>
    <s v="Extra"/>
    <s v="Inesperado"/>
  </r>
  <r>
    <x v="22"/>
    <x v="0"/>
    <x v="0"/>
    <x v="5"/>
    <s v="Venta de ropa y gadgets usados"/>
    <x v="0"/>
    <n v="5532.42"/>
    <x v="0"/>
    <x v="0"/>
    <s v="Extra"/>
    <s v="Inesperado"/>
  </r>
  <r>
    <x v="23"/>
    <x v="2"/>
    <x v="1"/>
    <x v="6"/>
    <s v="Suscripción mensual a Spotify Premium"/>
    <x v="1"/>
    <n v="2348.36"/>
    <x v="0"/>
    <x v="1"/>
    <s v="Prescindible"/>
    <s v="Imprevisto"/>
  </r>
  <r>
    <x v="24"/>
    <x v="0"/>
    <x v="1"/>
    <x v="7"/>
    <s v="Gasto en eventos"/>
    <x v="1"/>
    <n v="5918.21"/>
    <x v="4"/>
    <x v="0"/>
    <s v="Necesario"/>
    <s v="Imprevisto"/>
  </r>
  <r>
    <x v="25"/>
    <x v="0"/>
    <x v="2"/>
    <x v="8"/>
    <s v="Gasto en gasolina"/>
    <x v="1"/>
    <n v="2827.26"/>
    <x v="4"/>
    <x v="1"/>
    <s v="Necesario"/>
    <s v="Imprevisto"/>
  </r>
  <r>
    <x v="20"/>
    <x v="2"/>
    <x v="3"/>
    <x v="9"/>
    <s v="Gasto en libros"/>
    <x v="1"/>
    <n v="4075.65"/>
    <x v="1"/>
    <x v="1"/>
    <s v="Necesario"/>
    <s v="Planeado"/>
  </r>
  <r>
    <x v="26"/>
    <x v="1"/>
    <x v="3"/>
    <x v="10"/>
    <s v="Gasto en cursos online"/>
    <x v="1"/>
    <n v="7638.24"/>
    <x v="1"/>
    <x v="1"/>
    <s v="Prescindible"/>
    <s v="Planeado"/>
  </r>
  <r>
    <x v="17"/>
    <x v="1"/>
    <x v="4"/>
    <x v="11"/>
    <s v="Gasto en regalos"/>
    <x v="1"/>
    <n v="6111.62"/>
    <x v="5"/>
    <x v="0"/>
    <s v="Necesario"/>
    <s v="Planeado"/>
  </r>
  <r>
    <x v="27"/>
    <x v="0"/>
    <x v="4"/>
    <x v="11"/>
    <s v="Gasto en regalos"/>
    <x v="1"/>
    <n v="7479.44"/>
    <x v="5"/>
    <x v="1"/>
    <s v="Necesario"/>
    <s v="Imprevisto"/>
  </r>
  <r>
    <x v="28"/>
    <x v="2"/>
    <x v="4"/>
    <x v="11"/>
    <s v="Gasto en regalos"/>
    <x v="1"/>
    <n v="3215.18"/>
    <x v="5"/>
    <x v="0"/>
    <s v="Prescindible"/>
    <s v="Planeado"/>
  </r>
  <r>
    <x v="14"/>
    <x v="2"/>
    <x v="1"/>
    <x v="12"/>
    <s v="Pago mensual de Netflix"/>
    <x v="1"/>
    <n v="5060.76"/>
    <x v="4"/>
    <x v="1"/>
    <s v="Necesario"/>
    <s v="Planeado"/>
  </r>
  <r>
    <x v="29"/>
    <x v="2"/>
    <x v="5"/>
    <x v="13"/>
    <s v="Gasto en servicios (agua, luz, gas)"/>
    <x v="1"/>
    <n v="3230.91"/>
    <x v="4"/>
    <x v="1"/>
    <s v="Necesario"/>
    <s v="Imprevisto"/>
  </r>
  <r>
    <x v="30"/>
    <x v="1"/>
    <x v="6"/>
    <x v="14"/>
    <s v="Consulta ginecológica semestral"/>
    <x v="1"/>
    <n v="6156.43"/>
    <x v="1"/>
    <x v="0"/>
    <s v="Necesario"/>
    <s v="Planeado"/>
  </r>
  <r>
    <x v="11"/>
    <x v="0"/>
    <x v="4"/>
    <x v="15"/>
    <s v="Compra de blusa en Zara"/>
    <x v="1"/>
    <n v="1155.58"/>
    <x v="5"/>
    <x v="0"/>
    <s v="Necesario"/>
    <s v="Planeado"/>
  </r>
  <r>
    <x v="31"/>
    <x v="1"/>
    <x v="2"/>
    <x v="8"/>
    <s v="Gasto en gasolina"/>
    <x v="1"/>
    <n v="4880.26"/>
    <x v="1"/>
    <x v="1"/>
    <s v="Prescindible"/>
    <s v="Planeado"/>
  </r>
  <r>
    <x v="32"/>
    <x v="1"/>
    <x v="4"/>
    <x v="15"/>
    <s v="Compra de blusa en Zara"/>
    <x v="1"/>
    <n v="7304.37"/>
    <x v="1"/>
    <x v="0"/>
    <s v="Necesario"/>
    <s v="Planeado"/>
  </r>
  <r>
    <x v="33"/>
    <x v="1"/>
    <x v="3"/>
    <x v="10"/>
    <s v="Gasto en cursos online"/>
    <x v="1"/>
    <n v="7840.81"/>
    <x v="0"/>
    <x v="0"/>
    <s v="Necesario"/>
    <s v="Imprevisto"/>
  </r>
  <r>
    <x v="4"/>
    <x v="2"/>
    <x v="4"/>
    <x v="16"/>
    <s v="Gasto en cuidado personal"/>
    <x v="1"/>
    <n v="1045.26"/>
    <x v="5"/>
    <x v="0"/>
    <s v="Prescindible"/>
    <s v="Imprevisto"/>
  </r>
  <r>
    <x v="34"/>
    <x v="2"/>
    <x v="2"/>
    <x v="17"/>
    <s v="Gasto en uber"/>
    <x v="1"/>
    <n v="6708.96"/>
    <x v="1"/>
    <x v="1"/>
    <s v="Prescindible"/>
    <s v="Planeado"/>
  </r>
  <r>
    <x v="22"/>
    <x v="0"/>
    <x v="2"/>
    <x v="8"/>
    <s v="Gasto en gasolina"/>
    <x v="1"/>
    <n v="2342.59"/>
    <x v="1"/>
    <x v="0"/>
    <s v="Necesario"/>
    <s v="Imprevisto"/>
  </r>
  <r>
    <x v="2"/>
    <x v="1"/>
    <x v="3"/>
    <x v="10"/>
    <s v="Gasto en cursos online"/>
    <x v="1"/>
    <n v="4027.46"/>
    <x v="4"/>
    <x v="0"/>
    <s v="Necesario"/>
    <s v="Imprevisto"/>
  </r>
  <r>
    <x v="15"/>
    <x v="1"/>
    <x v="5"/>
    <x v="18"/>
    <s v="Pago mensual de renta"/>
    <x v="1"/>
    <n v="5520.52"/>
    <x v="4"/>
    <x v="0"/>
    <s v="Necesario"/>
    <s v="Planea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CF6F5-D036-4601-940E-B57C958AF205}" name="TablaDinámica7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J46:K48" firstHeaderRow="1" firstDataRow="1" firstDataCol="1"/>
  <pivotFields count="11">
    <pivotField numFmtId="14" showAll="0">
      <items count="36">
        <item x="23"/>
        <item x="10"/>
        <item x="29"/>
        <item x="34"/>
        <item x="4"/>
        <item x="6"/>
        <item x="20"/>
        <item x="28"/>
        <item x="14"/>
        <item x="5"/>
        <item x="24"/>
        <item x="25"/>
        <item x="27"/>
        <item x="1"/>
        <item x="22"/>
        <item x="13"/>
        <item x="0"/>
        <item x="11"/>
        <item x="19"/>
        <item x="17"/>
        <item x="12"/>
        <item x="31"/>
        <item x="8"/>
        <item x="2"/>
        <item x="16"/>
        <item x="32"/>
        <item x="18"/>
        <item x="21"/>
        <item x="3"/>
        <item x="15"/>
        <item x="26"/>
        <item x="9"/>
        <item x="30"/>
        <item x="7"/>
        <item x="33"/>
        <item t="default"/>
      </items>
    </pivotField>
    <pivotField showAll="0"/>
    <pivotField showAll="0">
      <items count="8">
        <item x="3"/>
        <item x="1"/>
        <item x="0"/>
        <item x="4"/>
        <item x="6"/>
        <item x="2"/>
        <item x="5"/>
        <item t="default"/>
      </items>
    </pivotField>
    <pivotField showAll="0"/>
    <pivotField showAll="0"/>
    <pivotField axis="axisRow" multipleItemSelectionAllowed="1" showAll="0">
      <items count="3">
        <item x="1"/>
        <item h="1" x="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5"/>
  </rowFields>
  <rowItems count="2">
    <i>
      <x/>
    </i>
    <i t="grand">
      <x/>
    </i>
  </rowItems>
  <colItems count="1">
    <i/>
  </colItems>
  <dataFields count="1">
    <dataField name="Suma de Monto" fld="6" baseField="5" baseItem="0" numFmtId="165"/>
  </dataFields>
  <formats count="2">
    <format dxfId="1">
      <pivotArea collapsedLevelsAreSubtotals="1" fieldPosition="0">
        <references count="1">
          <reference field="5" count="0"/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F98BF-E8D2-43BF-8CC0-9704956C6125}" name="TablaDinámica6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J41:K43" firstHeaderRow="1" firstDataRow="1" firstDataCol="1"/>
  <pivotFields count="11">
    <pivotField numFmtId="14" showAll="0">
      <items count="36">
        <item x="23"/>
        <item x="10"/>
        <item x="29"/>
        <item x="34"/>
        <item x="4"/>
        <item x="6"/>
        <item x="20"/>
        <item x="28"/>
        <item x="14"/>
        <item x="5"/>
        <item x="24"/>
        <item x="25"/>
        <item x="27"/>
        <item x="1"/>
        <item x="22"/>
        <item x="13"/>
        <item x="0"/>
        <item x="11"/>
        <item x="19"/>
        <item x="17"/>
        <item x="12"/>
        <item x="31"/>
        <item x="8"/>
        <item x="2"/>
        <item x="16"/>
        <item x="32"/>
        <item x="18"/>
        <item x="21"/>
        <item x="3"/>
        <item x="15"/>
        <item x="26"/>
        <item x="9"/>
        <item x="30"/>
        <item x="7"/>
        <item x="33"/>
        <item t="default"/>
      </items>
    </pivotField>
    <pivotField showAll="0"/>
    <pivotField showAll="0">
      <items count="8">
        <item x="3"/>
        <item x="1"/>
        <item x="0"/>
        <item x="4"/>
        <item x="6"/>
        <item x="2"/>
        <item x="5"/>
        <item t="default"/>
      </items>
    </pivotField>
    <pivotField showAll="0"/>
    <pivotField showAll="0"/>
    <pivotField axis="axisRow" multipleItemSelectionAllowed="1" showAll="0">
      <items count="3">
        <item x="1"/>
        <item h="1" x="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5"/>
  </rowFields>
  <rowItems count="2">
    <i>
      <x/>
    </i>
    <i t="grand">
      <x/>
    </i>
  </rowItems>
  <colItems count="1">
    <i/>
  </colItems>
  <dataFields count="1">
    <dataField name="Promedio de Monto" fld="6" subtotal="average" baseField="5" baseItem="0" numFmtId="165"/>
  </dataFields>
  <formats count="2">
    <format dxfId="3">
      <pivotArea collapsedLevelsAreSubtotals="1" fieldPosition="0">
        <references count="1">
          <reference field="5" count="0"/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FAE3C-A63F-46D4-B3A0-A1FA40F7BD55}" name="TablaDinámica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1">
  <location ref="A35:D40" firstHeaderRow="1" firstDataRow="2" firstDataCol="1"/>
  <pivotFields count="11">
    <pivotField numFmtId="14" showAll="0">
      <items count="36">
        <item x="23"/>
        <item x="10"/>
        <item x="29"/>
        <item x="34"/>
        <item x="4"/>
        <item x="6"/>
        <item x="20"/>
        <item x="28"/>
        <item x="14"/>
        <item x="5"/>
        <item x="24"/>
        <item x="25"/>
        <item x="27"/>
        <item x="1"/>
        <item x="22"/>
        <item x="13"/>
        <item x="0"/>
        <item x="11"/>
        <item x="19"/>
        <item x="17"/>
        <item x="12"/>
        <item x="31"/>
        <item x="8"/>
        <item x="2"/>
        <item x="16"/>
        <item x="32"/>
        <item x="18"/>
        <item x="21"/>
        <item x="3"/>
        <item x="15"/>
        <item x="26"/>
        <item x="9"/>
        <item x="30"/>
        <item x="7"/>
        <item x="33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>
      <items count="8">
        <item x="3"/>
        <item x="1"/>
        <item x="0"/>
        <item x="4"/>
        <item x="6"/>
        <item x="2"/>
        <item x="5"/>
        <item t="default"/>
      </items>
    </pivotField>
    <pivotField showAll="0"/>
    <pivotField showAll="0"/>
    <pivotField axis="axisCol" multipleItemSelectionAllowed="1" showAll="0">
      <items count="3">
        <item x="1"/>
        <item x="0"/>
        <item t="default"/>
      </items>
    </pivotField>
    <pivotField dataField="1" showAll="0"/>
    <pivotField showAll="0">
      <items count="7">
        <item x="5"/>
        <item x="2"/>
        <item x="0"/>
        <item x="3"/>
        <item x="4"/>
        <item x="1"/>
        <item t="default"/>
      </items>
    </pivotField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a de Monto" fld="6" baseField="0" baseItem="0" numFmtId="165"/>
  </dataFields>
  <chartFormats count="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98725-5DED-479F-9AB1-D2B7E965CC61}" name="TablaDinámica4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2">
  <location ref="O13:P27" firstHeaderRow="1" firstDataRow="1" firstDataCol="1" rowPageCount="1" colPageCount="1"/>
  <pivotFields count="11">
    <pivotField numFmtId="14" showAll="0">
      <items count="36">
        <item x="23"/>
        <item x="10"/>
        <item x="29"/>
        <item x="34"/>
        <item x="4"/>
        <item x="6"/>
        <item x="20"/>
        <item x="28"/>
        <item x="14"/>
        <item x="5"/>
        <item x="24"/>
        <item x="25"/>
        <item x="27"/>
        <item x="1"/>
        <item x="22"/>
        <item x="13"/>
        <item x="0"/>
        <item x="11"/>
        <item x="19"/>
        <item x="17"/>
        <item x="12"/>
        <item x="31"/>
        <item x="8"/>
        <item x="2"/>
        <item x="16"/>
        <item x="32"/>
        <item x="18"/>
        <item x="21"/>
        <item x="3"/>
        <item x="15"/>
        <item x="26"/>
        <item x="9"/>
        <item x="30"/>
        <item x="7"/>
        <item x="33"/>
        <item t="default"/>
      </items>
    </pivotField>
    <pivotField showAll="0"/>
    <pivotField showAll="0">
      <items count="8">
        <item x="3"/>
        <item x="1"/>
        <item x="0"/>
        <item x="4"/>
        <item x="6"/>
        <item x="2"/>
        <item x="5"/>
        <item t="default"/>
      </items>
    </pivotField>
    <pivotField axis="axisRow" showAll="0" sortType="ascending">
      <items count="20">
        <item x="0"/>
        <item x="14"/>
        <item x="16"/>
        <item x="10"/>
        <item x="7"/>
        <item x="1"/>
        <item x="8"/>
        <item x="9"/>
        <item x="12"/>
        <item x="2"/>
        <item x="3"/>
        <item x="11"/>
        <item x="18"/>
        <item x="15"/>
        <item x="13"/>
        <item x="6"/>
        <item x="4"/>
        <item x="1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3"/>
  </rowFields>
  <rowItems count="14">
    <i>
      <x v="2"/>
    </i>
    <i>
      <x v="15"/>
    </i>
    <i>
      <x v="14"/>
    </i>
    <i>
      <x v="7"/>
    </i>
    <i>
      <x v="8"/>
    </i>
    <i>
      <x v="12"/>
    </i>
    <i>
      <x v="4"/>
    </i>
    <i>
      <x v="1"/>
    </i>
    <i>
      <x v="17"/>
    </i>
    <i>
      <x v="13"/>
    </i>
    <i>
      <x v="6"/>
    </i>
    <i>
      <x v="11"/>
    </i>
    <i>
      <x v="3"/>
    </i>
    <i t="grand">
      <x/>
    </i>
  </rowItems>
  <colItems count="1">
    <i/>
  </colItems>
  <pageFields count="1">
    <pageField fld="5" item="0" hier="-1"/>
  </pageFields>
  <dataFields count="1">
    <dataField name="Suma de Monto" fld="6" baseField="3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99DE6-9905-4037-B752-3352AFEB082A}" name="TablaDinámica10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9">
  <location ref="A55:B57" firstHeaderRow="1" firstDataRow="1" firstDataCol="1" rowPageCount="1" colPageCount="1"/>
  <pivotFields count="11">
    <pivotField numFmtId="14" showAll="0">
      <items count="36">
        <item x="23"/>
        <item x="10"/>
        <item x="29"/>
        <item x="34"/>
        <item x="4"/>
        <item x="6"/>
        <item x="20"/>
        <item x="28"/>
        <item x="14"/>
        <item x="5"/>
        <item x="24"/>
        <item x="25"/>
        <item x="27"/>
        <item x="1"/>
        <item x="22"/>
        <item x="13"/>
        <item x="0"/>
        <item x="11"/>
        <item x="19"/>
        <item x="17"/>
        <item x="12"/>
        <item x="31"/>
        <item x="8"/>
        <item x="2"/>
        <item x="16"/>
        <item x="32"/>
        <item x="18"/>
        <item x="21"/>
        <item x="3"/>
        <item x="15"/>
        <item x="26"/>
        <item x="9"/>
        <item x="30"/>
        <item x="7"/>
        <item x="33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8">
        <item x="3"/>
        <item x="1"/>
        <item x="0"/>
        <item x="4"/>
        <item x="6"/>
        <item x="2"/>
        <item x="5"/>
        <item t="default"/>
      </items>
    </pivotField>
    <pivotField showAll="0"/>
    <pivotField showAll="0"/>
    <pivotField axis="axisPage" multipleItemSelectionAllowed="1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axis="axisRow" showAll="0">
      <items count="3">
        <item h="1" x="1"/>
        <item x="0"/>
        <item t="default"/>
      </items>
    </pivotField>
    <pivotField showAll="0"/>
    <pivotField showAll="0"/>
  </pivotFields>
  <rowFields count="1">
    <field x="8"/>
  </rowFields>
  <rowItems count="2">
    <i>
      <x v="1"/>
    </i>
    <i t="grand">
      <x/>
    </i>
  </rowItems>
  <colItems count="1">
    <i/>
  </colItems>
  <pageFields count="1">
    <pageField fld="5" hier="-1"/>
  </pageFields>
  <dataFields count="1">
    <dataField name="Suma de Monto" fld="6" baseField="8" baseItem="0" numFmtId="165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474DD-A584-4EC6-9043-C24C02E11CBF}" name="TablaDinámica9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9">
  <location ref="A49:B51" firstHeaderRow="1" firstDataRow="1" firstDataCol="1" rowPageCount="1" colPageCount="1"/>
  <pivotFields count="11">
    <pivotField numFmtId="14" showAll="0">
      <items count="36">
        <item x="23"/>
        <item x="10"/>
        <item x="29"/>
        <item x="34"/>
        <item x="4"/>
        <item x="6"/>
        <item x="20"/>
        <item x="28"/>
        <item x="14"/>
        <item x="5"/>
        <item x="24"/>
        <item x="25"/>
        <item x="27"/>
        <item x="1"/>
        <item x="22"/>
        <item x="13"/>
        <item x="0"/>
        <item x="11"/>
        <item x="19"/>
        <item x="17"/>
        <item x="12"/>
        <item x="31"/>
        <item x="8"/>
        <item x="2"/>
        <item x="16"/>
        <item x="32"/>
        <item x="18"/>
        <item x="21"/>
        <item x="3"/>
        <item x="15"/>
        <item x="26"/>
        <item x="9"/>
        <item x="30"/>
        <item x="7"/>
        <item x="33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8">
        <item x="3"/>
        <item x="1"/>
        <item x="0"/>
        <item x="4"/>
        <item x="6"/>
        <item x="2"/>
        <item x="5"/>
        <item t="default"/>
      </items>
    </pivotField>
    <pivotField showAll="0"/>
    <pivotField showAll="0"/>
    <pivotField axis="axisPage" multipleItemSelectionAllowed="1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axis="axisRow" showAll="0">
      <items count="3">
        <item x="1"/>
        <item h="1" x="0"/>
        <item t="default"/>
      </items>
    </pivotField>
    <pivotField showAll="0"/>
    <pivotField showAll="0"/>
  </pivotFields>
  <rowFields count="1">
    <field x="8"/>
  </rowFields>
  <rowItems count="2">
    <i>
      <x/>
    </i>
    <i t="grand">
      <x/>
    </i>
  </rowItems>
  <colItems count="1">
    <i/>
  </colItems>
  <pageFields count="1">
    <pageField fld="5" hier="-1"/>
  </pageFields>
  <dataFields count="1">
    <dataField name="Suma de Monto" fld="6" baseField="8" baseItem="0" numFmtId="165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1EC4A-9025-4624-A6C5-CB130673FC16}" name="TablaDinámica5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J36:K38" firstHeaderRow="1" firstDataRow="1" firstDataCol="1"/>
  <pivotFields count="11">
    <pivotField numFmtId="14" showAll="0">
      <items count="36">
        <item x="23"/>
        <item x="10"/>
        <item x="29"/>
        <item x="34"/>
        <item x="4"/>
        <item x="6"/>
        <item x="20"/>
        <item x="28"/>
        <item x="14"/>
        <item x="5"/>
        <item x="24"/>
        <item x="25"/>
        <item x="27"/>
        <item x="1"/>
        <item x="22"/>
        <item x="13"/>
        <item x="0"/>
        <item x="11"/>
        <item x="19"/>
        <item x="17"/>
        <item x="12"/>
        <item x="31"/>
        <item x="8"/>
        <item x="2"/>
        <item x="16"/>
        <item x="32"/>
        <item x="18"/>
        <item x="21"/>
        <item x="3"/>
        <item x="15"/>
        <item x="26"/>
        <item x="9"/>
        <item x="30"/>
        <item x="7"/>
        <item x="33"/>
        <item t="default"/>
      </items>
    </pivotField>
    <pivotField showAll="0"/>
    <pivotField showAll="0">
      <items count="8">
        <item x="3"/>
        <item x="1"/>
        <item x="0"/>
        <item x="4"/>
        <item x="6"/>
        <item x="2"/>
        <item x="5"/>
        <item t="default"/>
      </items>
    </pivotField>
    <pivotField showAll="0"/>
    <pivotField showAll="0"/>
    <pivotField axis="axisRow" multipleItemSelectionAllowed="1" showAll="0">
      <items count="3">
        <item h="1" x="1"/>
        <item x="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5"/>
  </rowFields>
  <rowItems count="2">
    <i>
      <x v="1"/>
    </i>
    <i t="grand">
      <x/>
    </i>
  </rowItems>
  <colItems count="1">
    <i/>
  </colItems>
  <dataFields count="1">
    <dataField name="Promedio de Monto" fld="6" subtotal="average" baseField="5" baseItem="1" numFmtId="165"/>
  </dataFields>
  <formats count="2">
    <format dxfId="5">
      <pivotArea collapsedLevelsAreSubtotals="1" fieldPosition="0">
        <references count="1">
          <reference field="5" count="0"/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7B14F-9841-410F-BF5E-A886BFCD7C1C}" name="TablaDinámica8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J51:K53" firstHeaderRow="1" firstDataRow="1" firstDataCol="1"/>
  <pivotFields count="11">
    <pivotField numFmtId="14" showAll="0">
      <items count="36">
        <item x="23"/>
        <item x="10"/>
        <item x="29"/>
        <item x="34"/>
        <item x="4"/>
        <item x="6"/>
        <item x="20"/>
        <item x="28"/>
        <item x="14"/>
        <item x="5"/>
        <item x="24"/>
        <item x="25"/>
        <item x="27"/>
        <item x="1"/>
        <item x="22"/>
        <item x="13"/>
        <item x="0"/>
        <item x="11"/>
        <item x="19"/>
        <item x="17"/>
        <item x="12"/>
        <item x="31"/>
        <item x="8"/>
        <item x="2"/>
        <item x="16"/>
        <item x="32"/>
        <item x="18"/>
        <item x="21"/>
        <item x="3"/>
        <item x="15"/>
        <item x="26"/>
        <item x="9"/>
        <item x="30"/>
        <item x="7"/>
        <item x="33"/>
        <item t="default"/>
      </items>
    </pivotField>
    <pivotField showAll="0"/>
    <pivotField showAll="0">
      <items count="8">
        <item x="3"/>
        <item x="1"/>
        <item x="0"/>
        <item x="4"/>
        <item x="6"/>
        <item x="2"/>
        <item x="5"/>
        <item t="default"/>
      </items>
    </pivotField>
    <pivotField showAll="0"/>
    <pivotField showAll="0"/>
    <pivotField axis="axisRow" multipleItemSelectionAllowed="1" showAll="0">
      <items count="3">
        <item h="1" x="1"/>
        <item x="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5"/>
  </rowFields>
  <rowItems count="2">
    <i>
      <x v="1"/>
    </i>
    <i t="grand">
      <x/>
    </i>
  </rowItems>
  <colItems count="1">
    <i/>
  </colItems>
  <dataFields count="1">
    <dataField name="Suma de Monto" fld="6" baseField="5" baseItem="0" numFmtId="165"/>
  </dataFields>
  <formats count="2">
    <format dxfId="7">
      <pivotArea collapsedLevelsAreSubtotals="1" fieldPosition="0">
        <references count="1">
          <reference field="5" count="0"/>
        </references>
      </pivotArea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92160-89AE-4663-9090-E2095B7CBFC8}" name="TablaDinámica2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9">
  <location ref="A42:B45" firstHeaderRow="1" firstDataRow="1" firstDataCol="1"/>
  <pivotFields count="11">
    <pivotField numFmtId="14" showAll="0">
      <items count="36">
        <item x="23"/>
        <item x="10"/>
        <item x="29"/>
        <item x="34"/>
        <item x="4"/>
        <item x="6"/>
        <item x="20"/>
        <item x="28"/>
        <item x="14"/>
        <item x="5"/>
        <item x="24"/>
        <item x="25"/>
        <item x="27"/>
        <item x="1"/>
        <item x="22"/>
        <item x="13"/>
        <item x="0"/>
        <item x="11"/>
        <item x="19"/>
        <item x="17"/>
        <item x="12"/>
        <item x="31"/>
        <item x="8"/>
        <item x="2"/>
        <item x="16"/>
        <item x="32"/>
        <item x="18"/>
        <item x="21"/>
        <item x="3"/>
        <item x="15"/>
        <item x="26"/>
        <item x="9"/>
        <item x="30"/>
        <item x="7"/>
        <item x="33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8">
        <item x="3"/>
        <item x="1"/>
        <item x="0"/>
        <item x="4"/>
        <item x="6"/>
        <item x="2"/>
        <item x="5"/>
        <item t="default"/>
      </items>
    </pivotField>
    <pivotField showAll="0"/>
    <pivotField showAll="0"/>
    <pivotField axis="axisRow" multipleItemSelectionAllowed="1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5"/>
  </rowFields>
  <rowItems count="3">
    <i>
      <x v="1"/>
    </i>
    <i>
      <x/>
    </i>
    <i t="grand">
      <x/>
    </i>
  </rowItems>
  <colItems count="1">
    <i/>
  </colItems>
  <dataFields count="1">
    <dataField name="Suma de Monto" fld="6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2D08C-6358-49F9-B37E-27DD001E837D}" name="TablaDinámica3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J13:K20" firstHeaderRow="1" firstDataRow="1" firstDataCol="1" rowPageCount="1" colPageCount="1"/>
  <pivotFields count="11">
    <pivotField numFmtId="14" showAll="0">
      <items count="36">
        <item x="23"/>
        <item x="10"/>
        <item x="29"/>
        <item x="34"/>
        <item x="4"/>
        <item x="6"/>
        <item x="20"/>
        <item x="28"/>
        <item x="14"/>
        <item x="5"/>
        <item x="24"/>
        <item x="25"/>
        <item x="27"/>
        <item x="1"/>
        <item x="22"/>
        <item x="13"/>
        <item x="0"/>
        <item x="11"/>
        <item x="19"/>
        <item x="17"/>
        <item x="12"/>
        <item x="31"/>
        <item x="8"/>
        <item x="2"/>
        <item x="16"/>
        <item x="32"/>
        <item x="18"/>
        <item x="21"/>
        <item x="3"/>
        <item x="15"/>
        <item x="26"/>
        <item x="9"/>
        <item x="30"/>
        <item x="7"/>
        <item x="33"/>
        <item t="default"/>
      </items>
    </pivotField>
    <pivotField showAll="0"/>
    <pivotField showAll="0">
      <items count="8">
        <item x="3"/>
        <item x="1"/>
        <item x="0"/>
        <item x="4"/>
        <item x="6"/>
        <item x="2"/>
        <item x="5"/>
        <item t="default"/>
      </items>
    </pivotField>
    <pivotField axis="axisRow" showAll="0" sortType="ascending">
      <items count="20">
        <item x="0"/>
        <item x="14"/>
        <item x="16"/>
        <item x="10"/>
        <item x="7"/>
        <item x="1"/>
        <item x="8"/>
        <item x="9"/>
        <item x="12"/>
        <item x="2"/>
        <item x="3"/>
        <item x="11"/>
        <item x="18"/>
        <item x="15"/>
        <item x="13"/>
        <item x="6"/>
        <item x="4"/>
        <item x="1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3"/>
  </rowFields>
  <rowItems count="7">
    <i>
      <x v="9"/>
    </i>
    <i>
      <x v="18"/>
    </i>
    <i>
      <x/>
    </i>
    <i>
      <x v="16"/>
    </i>
    <i>
      <x v="5"/>
    </i>
    <i>
      <x v="10"/>
    </i>
    <i t="grand">
      <x/>
    </i>
  </rowItems>
  <colItems count="1">
    <i/>
  </colItems>
  <pageFields count="1">
    <pageField fld="5" item="1" hier="-1"/>
  </pageFields>
  <dataFields count="1">
    <dataField name="Suma de Monto" fld="6" baseField="3" baseItem="0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99CE681-D09C-4796-AEC8-5D8626D1C16A}" autoFormatId="16" applyNumberFormats="0" applyBorderFormats="0" applyFontFormats="0" applyPatternFormats="0" applyAlignmentFormats="0" applyWidthHeightFormats="0">
  <queryTableRefresh nextId="12">
    <queryTableFields count="11">
      <queryTableField id="1" name="Fecha" tableColumnId="1"/>
      <queryTableField id="11" dataBound="0" tableColumnId="11"/>
      <queryTableField id="2" name="Categoría" tableColumnId="2"/>
      <queryTableField id="3" name=" Subcategoría" tableColumnId="3"/>
      <queryTableField id="4" name="Descripción" tableColumnId="4"/>
      <queryTableField id="5" name="Tipo (Ingreso/Gasto)" tableColumnId="5"/>
      <queryTableField id="6" name="Monto" tableColumnId="6"/>
      <queryTableField id="7" name="Forma de pago" tableColumnId="7"/>
      <queryTableField id="8" name="¿Es gasto fijo o variable?" tableColumnId="8"/>
      <queryTableField id="9" name="¿Es necesario o prescindible?" tableColumnId="9"/>
      <queryTableField id="10" name="¿Fue planeado o imprevisto?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_Ingreso_Gasto" xr10:uid="{FBA5C343-7FB5-428D-BB84-82C760A1E5E9}" sourceName="Tipo (Ingreso/Gasto)">
  <pivotTables>
    <pivotTable tabId="1" name="TablaDinámica1"/>
    <pivotTable tabId="1" name="TablaDinámica2"/>
    <pivotTable tabId="1" name="TablaDinámica9"/>
    <pivotTable tabId="1" name="TablaDinámica10"/>
  </pivotTables>
  <data>
    <tabular pivotCacheId="1720008902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BEDB8360-C301-45C5-A24C-13EBDD8FCF55}" sourceName="Categoría">
  <pivotTables>
    <pivotTable tabId="1" name="TablaDinámica1"/>
    <pivotTable tabId="1" name="TablaDinámica2"/>
    <pivotTable tabId="1" name="TablaDinámica3"/>
    <pivotTable tabId="1" name="TablaDinámica4"/>
    <pivotTable tabId="1" name="TablaDinámica5"/>
    <pivotTable tabId="1" name="TablaDinámica6"/>
    <pivotTable tabId="1" name="TablaDinámica7"/>
    <pivotTable tabId="1" name="TablaDinámica8"/>
    <pivotTable tabId="1" name="TablaDinámica9"/>
    <pivotTable tabId="1" name="TablaDinámica10"/>
  </pivotTables>
  <data>
    <tabular pivotCacheId="1720008902">
      <items count="7">
        <i x="3" s="1"/>
        <i x="1" s="1"/>
        <i x="0" s="1"/>
        <i x="4" s="1"/>
        <i x="6" s="1"/>
        <i x="2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(Ingreso/Gasto)" xr10:uid="{F51FC33B-06E1-431B-B002-30146B5ADEAF}" cache="SegmentaciónDeDatos_Tipo__Ingreso_Gasto" caption="Tipo (Ingreso/Gasto)" style="SlicerStyleDark1" rowHeight="257175"/>
  <slicer name="Categoría" xr10:uid="{0A71A825-63D3-41EC-BF9B-D41E9485BC29}" cache="SegmentaciónDeDatos_Categoría" caption="Categoría" columnCount="3" style="SlicerStyleDark1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BCE5D4-17BA-431A-9A27-623C6C047E5E}" name="Concentrado" displayName="Concentrado" ref="A1:K51" tableType="queryTable" totalsRowShown="0">
  <autoFilter ref="A1:K51" xr:uid="{D7BCE5D4-17BA-431A-9A27-623C6C047E5E}"/>
  <tableColumns count="11">
    <tableColumn id="1" xr3:uid="{6ABA729D-46A8-4F0C-94B6-62F1F88F8414}" uniqueName="1" name="Fecha" queryTableFieldId="1" dataDxfId="18"/>
    <tableColumn id="11" xr3:uid="{004F4D1D-E0EA-47DA-8F4A-A06A3F4DAB3C}" uniqueName="11" name="MES" queryTableFieldId="11" dataDxfId="17">
      <calculatedColumnFormula>TEXT(A2,"MMMM")</calculatedColumnFormula>
    </tableColumn>
    <tableColumn id="2" xr3:uid="{6AA580C3-8E53-44CE-BDDF-C674ADCFFBC9}" uniqueName="2" name="Categoría" queryTableFieldId="2" dataDxfId="16"/>
    <tableColumn id="3" xr3:uid="{F95ECF0D-FB24-405D-A7A5-4F69B8A7584C}" uniqueName="3" name=" Subcategoría" queryTableFieldId="3" dataDxfId="15"/>
    <tableColumn id="4" xr3:uid="{9E355EB3-022C-4B34-AE6B-4AD2E5AFB083}" uniqueName="4" name="Descripción" queryTableFieldId="4" dataDxfId="14"/>
    <tableColumn id="5" xr3:uid="{73F190A2-0CEE-4F0F-A4E2-262860837480}" uniqueName="5" name="Tipo (Ingreso/Gasto)" queryTableFieldId="5" dataDxfId="13"/>
    <tableColumn id="6" xr3:uid="{3B0AA324-5700-4698-A18A-2880F063ADE7}" uniqueName="6" name="Monto" queryTableFieldId="6" dataDxfId="12"/>
    <tableColumn id="7" xr3:uid="{923081BA-8A4B-4927-9AFC-D6DF32A84F74}" uniqueName="7" name="Forma de pago" queryTableFieldId="7" dataDxfId="11"/>
    <tableColumn id="8" xr3:uid="{3123706F-F642-4A99-A845-77FC5AAA87EF}" uniqueName="8" name="¿Es gasto fijo o variable?" queryTableFieldId="8" dataDxfId="10"/>
    <tableColumn id="9" xr3:uid="{0BDE4D5D-152D-4246-B2B9-F96FADF47229}" uniqueName="9" name="¿Es necesario o prescindible?" queryTableFieldId="9" dataDxfId="9"/>
    <tableColumn id="10" xr3:uid="{561DE208-DF70-4F84-B976-10DF2F81AC73}" uniqueName="10" name="¿Fue planeado o imprevisto?" queryTableFieldId="10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5C14DA4D-000B-48E2-AD91-2C784BB69F43}" sourceName="Fecha">
  <pivotTables>
    <pivotTable tabId="1" name="TablaDinámica3"/>
    <pivotTable tabId="1" name="TablaDinámica1"/>
    <pivotTable tabId="1" name="TablaDinámica2"/>
    <pivotTable tabId="1" name="TablaDinámica4"/>
    <pivotTable tabId="1" name="TablaDinámica5"/>
    <pivotTable tabId="1" name="TablaDinámica6"/>
    <pivotTable tabId="1" name="TablaDinámica7"/>
    <pivotTable tabId="1" name="TablaDinámica8"/>
    <pivotTable tabId="1" name="TablaDinámica9"/>
    <pivotTable tabId="1" name="TablaDinámica10"/>
  </pivotTables>
  <state minimalRefreshVersion="6" lastRefreshVersion="6" pivotCacheId="1720008902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F736DC4E-5341-4F96-81E5-109DE7AFE4F3}" cache="NativeTimeline_Fecha" caption="Fecha" level="2" selectionLevel="2" scrollPosition="2025-01-01T00:00:00" style="TimeSlicerStyleDark1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microsoft.com/office/2011/relationships/timeline" Target="../timelines/timeline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BEC4-580C-415E-AD03-7E4E6300E2F9}">
  <dimension ref="A1:K51"/>
  <sheetViews>
    <sheetView workbookViewId="0">
      <selection activeCell="L12" sqref="L12"/>
    </sheetView>
  </sheetViews>
  <sheetFormatPr baseColWidth="10" defaultRowHeight="15" x14ac:dyDescent="0.25"/>
  <cols>
    <col min="1" max="1" width="10.42578125" bestFit="1" customWidth="1"/>
    <col min="2" max="2" width="10.42578125" customWidth="1"/>
    <col min="3" max="3" width="14.85546875" bestFit="1" customWidth="1"/>
    <col min="4" max="4" width="23.140625" bestFit="1" customWidth="1"/>
    <col min="5" max="5" width="36.42578125" bestFit="1" customWidth="1"/>
    <col min="6" max="6" width="21.85546875" bestFit="1" customWidth="1"/>
    <col min="7" max="7" width="12" bestFit="1" customWidth="1"/>
    <col min="8" max="8" width="16.42578125" bestFit="1" customWidth="1"/>
    <col min="9" max="9" width="25.5703125" bestFit="1" customWidth="1"/>
    <col min="10" max="10" width="30.42578125" bestFit="1" customWidth="1"/>
    <col min="11" max="11" width="29.42578125" bestFit="1" customWidth="1"/>
  </cols>
  <sheetData>
    <row r="1" spans="1:11" x14ac:dyDescent="0.25">
      <c r="A1" t="s">
        <v>0</v>
      </c>
      <c r="B1" t="s">
        <v>73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>
        <v>45865</v>
      </c>
      <c r="B2" t="str">
        <f t="shared" ref="B2:B33" si="0">TEXT(A2,"MMMM")</f>
        <v>julio</v>
      </c>
      <c r="C2" t="s">
        <v>10</v>
      </c>
      <c r="D2" t="s">
        <v>11</v>
      </c>
      <c r="E2" t="s">
        <v>12</v>
      </c>
      <c r="F2" t="s">
        <v>13</v>
      </c>
      <c r="G2" s="6">
        <v>6238.82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25">
      <c r="A3" s="1">
        <v>45850</v>
      </c>
      <c r="B3" t="str">
        <f t="shared" si="0"/>
        <v>julio</v>
      </c>
      <c r="C3" t="s">
        <v>10</v>
      </c>
      <c r="D3" t="s">
        <v>11</v>
      </c>
      <c r="E3" t="s">
        <v>12</v>
      </c>
      <c r="F3" t="s">
        <v>13</v>
      </c>
      <c r="G3" s="6">
        <v>9223.4599999999991</v>
      </c>
      <c r="H3" t="s">
        <v>18</v>
      </c>
      <c r="I3" t="s">
        <v>15</v>
      </c>
      <c r="J3" t="s">
        <v>16</v>
      </c>
      <c r="K3" t="s">
        <v>17</v>
      </c>
    </row>
    <row r="4" spans="1:11" x14ac:dyDescent="0.25">
      <c r="A4" s="1">
        <v>45881</v>
      </c>
      <c r="B4" t="str">
        <f t="shared" si="0"/>
        <v>agosto</v>
      </c>
      <c r="C4" t="s">
        <v>10</v>
      </c>
      <c r="D4" t="s">
        <v>11</v>
      </c>
      <c r="E4" t="s">
        <v>12</v>
      </c>
      <c r="F4" t="s">
        <v>13</v>
      </c>
      <c r="G4" s="6">
        <v>13815.57</v>
      </c>
      <c r="H4" t="s">
        <v>14</v>
      </c>
      <c r="I4" t="s">
        <v>15</v>
      </c>
      <c r="J4" t="s">
        <v>16</v>
      </c>
      <c r="K4" t="s">
        <v>17</v>
      </c>
    </row>
    <row r="5" spans="1:11" x14ac:dyDescent="0.25">
      <c r="A5" s="1">
        <v>45881</v>
      </c>
      <c r="B5" t="str">
        <f t="shared" si="0"/>
        <v>agosto</v>
      </c>
      <c r="C5" t="s">
        <v>10</v>
      </c>
      <c r="D5" t="s">
        <v>11</v>
      </c>
      <c r="E5" t="s">
        <v>12</v>
      </c>
      <c r="F5" t="s">
        <v>13</v>
      </c>
      <c r="G5" s="6">
        <v>11235.95</v>
      </c>
      <c r="H5" t="s">
        <v>19</v>
      </c>
      <c r="I5" t="s">
        <v>15</v>
      </c>
      <c r="J5" t="s">
        <v>16</v>
      </c>
      <c r="K5" t="s">
        <v>17</v>
      </c>
    </row>
    <row r="6" spans="1:11" x14ac:dyDescent="0.25">
      <c r="A6" s="1">
        <v>45886</v>
      </c>
      <c r="B6" t="str">
        <f t="shared" si="0"/>
        <v>agosto</v>
      </c>
      <c r="C6" t="s">
        <v>10</v>
      </c>
      <c r="D6" t="s">
        <v>20</v>
      </c>
      <c r="E6" t="s">
        <v>21</v>
      </c>
      <c r="F6" t="s">
        <v>13</v>
      </c>
      <c r="G6" s="6">
        <v>8653.64</v>
      </c>
      <c r="H6" t="s">
        <v>22</v>
      </c>
      <c r="I6" t="s">
        <v>15</v>
      </c>
      <c r="J6" t="s">
        <v>16</v>
      </c>
      <c r="K6" t="s">
        <v>23</v>
      </c>
    </row>
    <row r="7" spans="1:11" x14ac:dyDescent="0.25">
      <c r="A7" s="1">
        <v>45821</v>
      </c>
      <c r="B7" t="str">
        <f t="shared" si="0"/>
        <v>junio</v>
      </c>
      <c r="C7" t="s">
        <v>10</v>
      </c>
      <c r="D7" t="s">
        <v>20</v>
      </c>
      <c r="E7" t="s">
        <v>21</v>
      </c>
      <c r="F7" t="s">
        <v>13</v>
      </c>
      <c r="G7" s="6">
        <v>14446.97</v>
      </c>
      <c r="H7" t="s">
        <v>19</v>
      </c>
      <c r="I7" t="s">
        <v>15</v>
      </c>
      <c r="J7" t="s">
        <v>16</v>
      </c>
      <c r="K7" t="s">
        <v>23</v>
      </c>
    </row>
    <row r="8" spans="1:11" x14ac:dyDescent="0.25">
      <c r="A8" s="1">
        <v>45841</v>
      </c>
      <c r="B8" t="str">
        <f t="shared" si="0"/>
        <v>julio</v>
      </c>
      <c r="C8" t="s">
        <v>10</v>
      </c>
      <c r="D8" t="s">
        <v>20</v>
      </c>
      <c r="E8" t="s">
        <v>21</v>
      </c>
      <c r="F8" t="s">
        <v>13</v>
      </c>
      <c r="G8" s="6">
        <v>14344.57</v>
      </c>
      <c r="H8" t="s">
        <v>18</v>
      </c>
      <c r="I8" t="s">
        <v>15</v>
      </c>
      <c r="J8" t="s">
        <v>16</v>
      </c>
      <c r="K8" t="s">
        <v>23</v>
      </c>
    </row>
    <row r="9" spans="1:11" x14ac:dyDescent="0.25">
      <c r="A9" s="1">
        <v>45822</v>
      </c>
      <c r="B9" t="str">
        <f t="shared" si="0"/>
        <v>junio</v>
      </c>
      <c r="C9" t="s">
        <v>10</v>
      </c>
      <c r="D9" t="s">
        <v>20</v>
      </c>
      <c r="E9" t="s">
        <v>21</v>
      </c>
      <c r="F9" t="s">
        <v>13</v>
      </c>
      <c r="G9" s="6">
        <v>7359.87</v>
      </c>
      <c r="H9" t="s">
        <v>18</v>
      </c>
      <c r="I9" t="s">
        <v>15</v>
      </c>
      <c r="J9" t="s">
        <v>16</v>
      </c>
      <c r="K9" t="s">
        <v>23</v>
      </c>
    </row>
    <row r="10" spans="1:11" x14ac:dyDescent="0.25">
      <c r="A10" s="1">
        <v>45898</v>
      </c>
      <c r="B10" t="str">
        <f t="shared" si="0"/>
        <v>agosto</v>
      </c>
      <c r="C10" t="s">
        <v>10</v>
      </c>
      <c r="D10" t="s">
        <v>20</v>
      </c>
      <c r="E10" t="s">
        <v>21</v>
      </c>
      <c r="F10" t="s">
        <v>13</v>
      </c>
      <c r="G10" s="6">
        <v>10491.97</v>
      </c>
      <c r="H10" t="s">
        <v>22</v>
      </c>
      <c r="I10" t="s">
        <v>15</v>
      </c>
      <c r="J10" t="s">
        <v>16</v>
      </c>
      <c r="K10" t="s">
        <v>23</v>
      </c>
    </row>
    <row r="11" spans="1:11" x14ac:dyDescent="0.25">
      <c r="A11" s="1">
        <v>45880</v>
      </c>
      <c r="B11" t="str">
        <f t="shared" si="0"/>
        <v>agosto</v>
      </c>
      <c r="C11" t="s">
        <v>10</v>
      </c>
      <c r="D11" t="s">
        <v>20</v>
      </c>
      <c r="E11" t="s">
        <v>21</v>
      </c>
      <c r="F11" t="s">
        <v>13</v>
      </c>
      <c r="G11" s="6">
        <v>8250.8700000000008</v>
      </c>
      <c r="H11" t="s">
        <v>22</v>
      </c>
      <c r="I11" t="s">
        <v>15</v>
      </c>
      <c r="J11" t="s">
        <v>16</v>
      </c>
      <c r="K11" t="s">
        <v>23</v>
      </c>
    </row>
    <row r="12" spans="1:11" x14ac:dyDescent="0.25">
      <c r="A12" s="1">
        <v>45890</v>
      </c>
      <c r="B12" t="str">
        <f t="shared" si="0"/>
        <v>agosto</v>
      </c>
      <c r="C12" t="s">
        <v>10</v>
      </c>
      <c r="D12" t="s">
        <v>20</v>
      </c>
      <c r="E12" t="s">
        <v>21</v>
      </c>
      <c r="F12" t="s">
        <v>13</v>
      </c>
      <c r="G12" s="6">
        <v>6907.62</v>
      </c>
      <c r="H12" t="s">
        <v>18</v>
      </c>
      <c r="I12" t="s">
        <v>15</v>
      </c>
      <c r="J12" t="s">
        <v>16</v>
      </c>
      <c r="K12" t="s">
        <v>23</v>
      </c>
    </row>
    <row r="13" spans="1:11" x14ac:dyDescent="0.25">
      <c r="A13" s="1">
        <v>45812</v>
      </c>
      <c r="B13" t="str">
        <f t="shared" si="0"/>
        <v>junio</v>
      </c>
      <c r="C13" t="s">
        <v>10</v>
      </c>
      <c r="D13" t="s">
        <v>24</v>
      </c>
      <c r="E13" t="s">
        <v>25</v>
      </c>
      <c r="F13" t="s">
        <v>13</v>
      </c>
      <c r="G13" s="6">
        <v>5186.5200000000004</v>
      </c>
      <c r="H13" t="s">
        <v>19</v>
      </c>
      <c r="I13" t="s">
        <v>15</v>
      </c>
      <c r="J13" t="s">
        <v>26</v>
      </c>
      <c r="K13" t="s">
        <v>23</v>
      </c>
    </row>
    <row r="14" spans="1:11" x14ac:dyDescent="0.25">
      <c r="A14" s="1">
        <v>45866</v>
      </c>
      <c r="B14" t="str">
        <f t="shared" si="0"/>
        <v>julio</v>
      </c>
      <c r="C14" t="s">
        <v>10</v>
      </c>
      <c r="D14" t="s">
        <v>24</v>
      </c>
      <c r="E14" t="s">
        <v>25</v>
      </c>
      <c r="F14" t="s">
        <v>13</v>
      </c>
      <c r="G14" s="6">
        <v>6813.92</v>
      </c>
      <c r="H14" t="s">
        <v>18</v>
      </c>
      <c r="I14" t="s">
        <v>15</v>
      </c>
      <c r="J14" t="s">
        <v>26</v>
      </c>
      <c r="K14" t="s">
        <v>23</v>
      </c>
    </row>
    <row r="15" spans="1:11" x14ac:dyDescent="0.25">
      <c r="A15" s="1">
        <v>45874</v>
      </c>
      <c r="B15" t="str">
        <f t="shared" si="0"/>
        <v>agosto</v>
      </c>
      <c r="C15" t="s">
        <v>10</v>
      </c>
      <c r="D15" t="s">
        <v>24</v>
      </c>
      <c r="E15" t="s">
        <v>25</v>
      </c>
      <c r="F15" t="s">
        <v>13</v>
      </c>
      <c r="G15" s="6">
        <v>9078.76</v>
      </c>
      <c r="H15" t="s">
        <v>18</v>
      </c>
      <c r="I15" t="s">
        <v>15</v>
      </c>
      <c r="J15" t="s">
        <v>26</v>
      </c>
      <c r="K15" t="s">
        <v>23</v>
      </c>
    </row>
    <row r="16" spans="1:11" x14ac:dyDescent="0.25">
      <c r="A16" s="1">
        <v>45821</v>
      </c>
      <c r="B16" t="str">
        <f t="shared" si="0"/>
        <v>junio</v>
      </c>
      <c r="C16" t="s">
        <v>10</v>
      </c>
      <c r="D16" t="s">
        <v>27</v>
      </c>
      <c r="E16" t="s">
        <v>28</v>
      </c>
      <c r="F16" t="s">
        <v>13</v>
      </c>
      <c r="G16" s="6">
        <v>5277.97</v>
      </c>
      <c r="H16" t="s">
        <v>14</v>
      </c>
      <c r="I16" t="s">
        <v>15</v>
      </c>
      <c r="J16" t="s">
        <v>16</v>
      </c>
      <c r="K16" t="s">
        <v>17</v>
      </c>
    </row>
    <row r="17" spans="1:11" x14ac:dyDescent="0.25">
      <c r="A17" s="1">
        <v>45854</v>
      </c>
      <c r="B17" t="str">
        <f t="shared" si="0"/>
        <v>julio</v>
      </c>
      <c r="C17" t="s">
        <v>10</v>
      </c>
      <c r="D17" t="s">
        <v>27</v>
      </c>
      <c r="E17" t="s">
        <v>28</v>
      </c>
      <c r="F17" t="s">
        <v>13</v>
      </c>
      <c r="G17" s="6">
        <v>14752.93</v>
      </c>
      <c r="H17" t="s">
        <v>18</v>
      </c>
      <c r="I17" t="s">
        <v>15</v>
      </c>
      <c r="J17" t="s">
        <v>16</v>
      </c>
      <c r="K17" t="s">
        <v>17</v>
      </c>
    </row>
    <row r="18" spans="1:11" x14ac:dyDescent="0.25">
      <c r="A18" s="1">
        <v>45838</v>
      </c>
      <c r="B18" t="str">
        <f t="shared" si="0"/>
        <v>junio</v>
      </c>
      <c r="C18" t="s">
        <v>10</v>
      </c>
      <c r="D18" t="s">
        <v>27</v>
      </c>
      <c r="E18" t="s">
        <v>28</v>
      </c>
      <c r="F18" t="s">
        <v>13</v>
      </c>
      <c r="G18" s="6">
        <v>13517.93</v>
      </c>
      <c r="H18" t="s">
        <v>14</v>
      </c>
      <c r="I18" t="s">
        <v>15</v>
      </c>
      <c r="J18" t="s">
        <v>16</v>
      </c>
      <c r="K18" t="s">
        <v>17</v>
      </c>
    </row>
    <row r="19" spans="1:11" x14ac:dyDescent="0.25">
      <c r="A19" s="1">
        <v>45887</v>
      </c>
      <c r="B19" t="str">
        <f t="shared" si="0"/>
        <v>agosto</v>
      </c>
      <c r="C19" t="s">
        <v>10</v>
      </c>
      <c r="D19" t="s">
        <v>27</v>
      </c>
      <c r="E19" t="s">
        <v>28</v>
      </c>
      <c r="F19" t="s">
        <v>13</v>
      </c>
      <c r="G19" s="6">
        <v>14416.72</v>
      </c>
      <c r="H19" t="s">
        <v>22</v>
      </c>
      <c r="I19" t="s">
        <v>15</v>
      </c>
      <c r="J19" t="s">
        <v>16</v>
      </c>
      <c r="K19" t="s">
        <v>17</v>
      </c>
    </row>
    <row r="20" spans="1:11" x14ac:dyDescent="0.25">
      <c r="A20" s="1">
        <v>45882</v>
      </c>
      <c r="B20" t="str">
        <f t="shared" si="0"/>
        <v>agosto</v>
      </c>
      <c r="C20" t="s">
        <v>10</v>
      </c>
      <c r="D20" t="s">
        <v>27</v>
      </c>
      <c r="E20" t="s">
        <v>28</v>
      </c>
      <c r="F20" t="s">
        <v>13</v>
      </c>
      <c r="G20" s="6">
        <v>9130.65</v>
      </c>
      <c r="H20" t="s">
        <v>19</v>
      </c>
      <c r="I20" t="s">
        <v>15</v>
      </c>
      <c r="J20" t="s">
        <v>16</v>
      </c>
      <c r="K20" t="s">
        <v>17</v>
      </c>
    </row>
    <row r="21" spans="1:11" x14ac:dyDescent="0.25">
      <c r="A21" s="1">
        <v>45870</v>
      </c>
      <c r="B21" t="str">
        <f t="shared" si="0"/>
        <v>agosto</v>
      </c>
      <c r="C21" t="s">
        <v>10</v>
      </c>
      <c r="D21" t="s">
        <v>27</v>
      </c>
      <c r="E21" t="s">
        <v>28</v>
      </c>
      <c r="F21" t="s">
        <v>13</v>
      </c>
      <c r="G21" s="6">
        <v>7730.61</v>
      </c>
      <c r="H21" t="s">
        <v>14</v>
      </c>
      <c r="I21" t="s">
        <v>15</v>
      </c>
      <c r="J21" t="s">
        <v>16</v>
      </c>
      <c r="K21" t="s">
        <v>17</v>
      </c>
    </row>
    <row r="22" spans="1:11" x14ac:dyDescent="0.25">
      <c r="A22" s="1">
        <v>45890</v>
      </c>
      <c r="B22" t="str">
        <f t="shared" si="0"/>
        <v>agosto</v>
      </c>
      <c r="C22" t="s">
        <v>10</v>
      </c>
      <c r="D22" t="s">
        <v>27</v>
      </c>
      <c r="E22" t="s">
        <v>28</v>
      </c>
      <c r="F22" t="s">
        <v>13</v>
      </c>
      <c r="G22" s="6">
        <v>13180.41</v>
      </c>
      <c r="H22" t="s">
        <v>18</v>
      </c>
      <c r="I22" t="s">
        <v>15</v>
      </c>
      <c r="J22" t="s">
        <v>16</v>
      </c>
      <c r="K22" t="s">
        <v>17</v>
      </c>
    </row>
    <row r="23" spans="1:11" x14ac:dyDescent="0.25">
      <c r="A23" s="1">
        <v>45884</v>
      </c>
      <c r="B23" t="str">
        <f t="shared" si="0"/>
        <v>agosto</v>
      </c>
      <c r="C23" t="s">
        <v>10</v>
      </c>
      <c r="D23" t="s">
        <v>29</v>
      </c>
      <c r="E23" t="s">
        <v>30</v>
      </c>
      <c r="F23" t="s">
        <v>13</v>
      </c>
      <c r="G23" s="6">
        <v>10535.04</v>
      </c>
      <c r="H23" t="s">
        <v>19</v>
      </c>
      <c r="I23" t="s">
        <v>31</v>
      </c>
      <c r="J23" t="s">
        <v>26</v>
      </c>
      <c r="K23" t="s">
        <v>23</v>
      </c>
    </row>
    <row r="24" spans="1:11" x14ac:dyDescent="0.25">
      <c r="A24" s="1">
        <v>45884</v>
      </c>
      <c r="B24" t="str">
        <f t="shared" si="0"/>
        <v>agosto</v>
      </c>
      <c r="C24" t="s">
        <v>10</v>
      </c>
      <c r="D24" t="s">
        <v>29</v>
      </c>
      <c r="E24" t="s">
        <v>30</v>
      </c>
      <c r="F24" t="s">
        <v>13</v>
      </c>
      <c r="G24" s="6">
        <v>6902.87</v>
      </c>
      <c r="H24" t="s">
        <v>14</v>
      </c>
      <c r="I24" t="s">
        <v>31</v>
      </c>
      <c r="J24" t="s">
        <v>26</v>
      </c>
      <c r="K24" t="s">
        <v>23</v>
      </c>
    </row>
    <row r="25" spans="1:11" x14ac:dyDescent="0.25">
      <c r="A25" s="1">
        <v>45874</v>
      </c>
      <c r="B25" t="str">
        <f t="shared" si="0"/>
        <v>agosto</v>
      </c>
      <c r="C25" t="s">
        <v>10</v>
      </c>
      <c r="D25" t="s">
        <v>29</v>
      </c>
      <c r="E25" t="s">
        <v>30</v>
      </c>
      <c r="F25" t="s">
        <v>13</v>
      </c>
      <c r="G25" s="6">
        <v>11141.52</v>
      </c>
      <c r="H25" t="s">
        <v>19</v>
      </c>
      <c r="I25" t="s">
        <v>31</v>
      </c>
      <c r="J25" t="s">
        <v>26</v>
      </c>
      <c r="K25" t="s">
        <v>23</v>
      </c>
    </row>
    <row r="26" spans="1:11" x14ac:dyDescent="0.25">
      <c r="A26" s="1">
        <v>45868</v>
      </c>
      <c r="B26" t="str">
        <f t="shared" si="0"/>
        <v>julio</v>
      </c>
      <c r="C26" t="s">
        <v>10</v>
      </c>
      <c r="D26" t="s">
        <v>29</v>
      </c>
      <c r="E26" t="s">
        <v>30</v>
      </c>
      <c r="F26" t="s">
        <v>13</v>
      </c>
      <c r="G26" s="6">
        <v>9452.94</v>
      </c>
      <c r="H26" t="s">
        <v>14</v>
      </c>
      <c r="I26" t="s">
        <v>31</v>
      </c>
      <c r="J26" t="s">
        <v>26</v>
      </c>
      <c r="K26" t="s">
        <v>23</v>
      </c>
    </row>
    <row r="27" spans="1:11" x14ac:dyDescent="0.25">
      <c r="A27" s="1">
        <v>45824</v>
      </c>
      <c r="B27" t="str">
        <f t="shared" si="0"/>
        <v>junio</v>
      </c>
      <c r="C27" t="s">
        <v>10</v>
      </c>
      <c r="D27" t="s">
        <v>29</v>
      </c>
      <c r="E27" t="s">
        <v>30</v>
      </c>
      <c r="F27" t="s">
        <v>13</v>
      </c>
      <c r="G27" s="6">
        <v>11378.05</v>
      </c>
      <c r="H27" t="s">
        <v>19</v>
      </c>
      <c r="I27" t="s">
        <v>31</v>
      </c>
      <c r="J27" t="s">
        <v>26</v>
      </c>
      <c r="K27" t="s">
        <v>23</v>
      </c>
    </row>
    <row r="28" spans="1:11" x14ac:dyDescent="0.25">
      <c r="A28" s="1">
        <v>45885</v>
      </c>
      <c r="B28" t="str">
        <f t="shared" si="0"/>
        <v>agosto</v>
      </c>
      <c r="C28" t="s">
        <v>10</v>
      </c>
      <c r="D28" t="s">
        <v>32</v>
      </c>
      <c r="E28" t="s">
        <v>33</v>
      </c>
      <c r="F28" t="s">
        <v>13</v>
      </c>
      <c r="G28" s="6">
        <v>6500.13</v>
      </c>
      <c r="H28" t="s">
        <v>22</v>
      </c>
      <c r="I28" t="s">
        <v>15</v>
      </c>
      <c r="J28" t="s">
        <v>16</v>
      </c>
      <c r="K28" t="s">
        <v>17</v>
      </c>
    </row>
    <row r="29" spans="1:11" x14ac:dyDescent="0.25">
      <c r="A29" s="1">
        <v>45884</v>
      </c>
      <c r="B29" t="str">
        <f t="shared" si="0"/>
        <v>agosto</v>
      </c>
      <c r="C29" t="s">
        <v>10</v>
      </c>
      <c r="D29" t="s">
        <v>32</v>
      </c>
      <c r="E29" t="s">
        <v>33</v>
      </c>
      <c r="F29" t="s">
        <v>13</v>
      </c>
      <c r="G29" s="6">
        <v>7824.62</v>
      </c>
      <c r="H29" t="s">
        <v>14</v>
      </c>
      <c r="I29" t="s">
        <v>15</v>
      </c>
      <c r="J29" t="s">
        <v>16</v>
      </c>
      <c r="K29" t="s">
        <v>17</v>
      </c>
    </row>
    <row r="30" spans="1:11" x14ac:dyDescent="0.25">
      <c r="A30" s="1">
        <v>45865</v>
      </c>
      <c r="B30" t="str">
        <f t="shared" si="0"/>
        <v>julio</v>
      </c>
      <c r="C30" t="s">
        <v>10</v>
      </c>
      <c r="D30" t="s">
        <v>32</v>
      </c>
      <c r="E30" t="s">
        <v>33</v>
      </c>
      <c r="F30" t="s">
        <v>13</v>
      </c>
      <c r="G30" s="6">
        <v>13807.26</v>
      </c>
      <c r="H30" t="s">
        <v>18</v>
      </c>
      <c r="I30" t="s">
        <v>15</v>
      </c>
      <c r="J30" t="s">
        <v>16</v>
      </c>
      <c r="K30" t="s">
        <v>17</v>
      </c>
    </row>
    <row r="31" spans="1:11" x14ac:dyDescent="0.25">
      <c r="A31" s="1">
        <v>45853</v>
      </c>
      <c r="B31" t="str">
        <f t="shared" si="0"/>
        <v>julio</v>
      </c>
      <c r="C31" t="s">
        <v>10</v>
      </c>
      <c r="D31" t="s">
        <v>32</v>
      </c>
      <c r="E31" t="s">
        <v>33</v>
      </c>
      <c r="F31" t="s">
        <v>13</v>
      </c>
      <c r="G31" s="6">
        <v>5532.42</v>
      </c>
      <c r="H31" t="s">
        <v>14</v>
      </c>
      <c r="I31" t="s">
        <v>15</v>
      </c>
      <c r="J31" t="s">
        <v>16</v>
      </c>
      <c r="K31" t="s">
        <v>17</v>
      </c>
    </row>
    <row r="32" spans="1:11" x14ac:dyDescent="0.25">
      <c r="A32" s="1">
        <v>45810</v>
      </c>
      <c r="B32" t="str">
        <f t="shared" si="0"/>
        <v>junio</v>
      </c>
      <c r="C32" t="s">
        <v>34</v>
      </c>
      <c r="D32" t="s">
        <v>35</v>
      </c>
      <c r="E32" t="s">
        <v>36</v>
      </c>
      <c r="F32" t="s">
        <v>37</v>
      </c>
      <c r="G32" s="6">
        <v>2348.36</v>
      </c>
      <c r="H32" t="s">
        <v>14</v>
      </c>
      <c r="I32" t="s">
        <v>31</v>
      </c>
      <c r="J32" t="s">
        <v>38</v>
      </c>
      <c r="K32" t="s">
        <v>39</v>
      </c>
    </row>
    <row r="33" spans="1:11" x14ac:dyDescent="0.25">
      <c r="A33" s="1">
        <v>45844</v>
      </c>
      <c r="B33" t="str">
        <f t="shared" si="0"/>
        <v>julio</v>
      </c>
      <c r="C33" t="s">
        <v>34</v>
      </c>
      <c r="D33" t="s">
        <v>40</v>
      </c>
      <c r="E33" t="s">
        <v>41</v>
      </c>
      <c r="F33" t="s">
        <v>37</v>
      </c>
      <c r="G33" s="6">
        <v>5918.21</v>
      </c>
      <c r="H33" t="s">
        <v>42</v>
      </c>
      <c r="I33" t="s">
        <v>15</v>
      </c>
      <c r="J33" t="s">
        <v>26</v>
      </c>
      <c r="K33" t="s">
        <v>39</v>
      </c>
    </row>
    <row r="34" spans="1:11" x14ac:dyDescent="0.25">
      <c r="A34" s="1">
        <v>45845</v>
      </c>
      <c r="B34" t="str">
        <f t="shared" ref="B34:B51" si="1">TEXT(A34,"MMMM")</f>
        <v>julio</v>
      </c>
      <c r="C34" t="s">
        <v>43</v>
      </c>
      <c r="D34" t="s">
        <v>44</v>
      </c>
      <c r="E34" t="s">
        <v>45</v>
      </c>
      <c r="F34" t="s">
        <v>37</v>
      </c>
      <c r="G34" s="6">
        <v>2827.26</v>
      </c>
      <c r="H34" t="s">
        <v>42</v>
      </c>
      <c r="I34" t="s">
        <v>31</v>
      </c>
      <c r="J34" t="s">
        <v>26</v>
      </c>
      <c r="K34" t="s">
        <v>39</v>
      </c>
    </row>
    <row r="35" spans="1:11" x14ac:dyDescent="0.25">
      <c r="A35" s="1">
        <v>45824</v>
      </c>
      <c r="B35" t="str">
        <f t="shared" si="1"/>
        <v>junio</v>
      </c>
      <c r="C35" t="s">
        <v>46</v>
      </c>
      <c r="D35" t="s">
        <v>47</v>
      </c>
      <c r="E35" t="s">
        <v>48</v>
      </c>
      <c r="F35" t="s">
        <v>37</v>
      </c>
      <c r="G35" s="6">
        <v>4075.65</v>
      </c>
      <c r="H35" t="s">
        <v>18</v>
      </c>
      <c r="I35" t="s">
        <v>31</v>
      </c>
      <c r="J35" t="s">
        <v>26</v>
      </c>
      <c r="K35" t="s">
        <v>23</v>
      </c>
    </row>
    <row r="36" spans="1:11" x14ac:dyDescent="0.25">
      <c r="A36" s="1">
        <v>45889</v>
      </c>
      <c r="B36" t="str">
        <f t="shared" si="1"/>
        <v>agosto</v>
      </c>
      <c r="C36" t="s">
        <v>46</v>
      </c>
      <c r="D36" t="s">
        <v>49</v>
      </c>
      <c r="E36" t="s">
        <v>50</v>
      </c>
      <c r="F36" t="s">
        <v>37</v>
      </c>
      <c r="G36" s="6">
        <v>7638.24</v>
      </c>
      <c r="H36" t="s">
        <v>18</v>
      </c>
      <c r="I36" t="s">
        <v>31</v>
      </c>
      <c r="J36" t="s">
        <v>38</v>
      </c>
      <c r="K36" t="s">
        <v>23</v>
      </c>
    </row>
    <row r="37" spans="1:11" x14ac:dyDescent="0.25">
      <c r="A37" s="1">
        <v>45870</v>
      </c>
      <c r="B37" t="str">
        <f t="shared" si="1"/>
        <v>agosto</v>
      </c>
      <c r="C37" t="s">
        <v>51</v>
      </c>
      <c r="D37" t="s">
        <v>52</v>
      </c>
      <c r="E37" t="s">
        <v>53</v>
      </c>
      <c r="F37" t="s">
        <v>37</v>
      </c>
      <c r="G37" s="6">
        <v>6111.62</v>
      </c>
      <c r="H37" t="s">
        <v>54</v>
      </c>
      <c r="I37" t="s">
        <v>15</v>
      </c>
      <c r="J37" t="s">
        <v>26</v>
      </c>
      <c r="K37" t="s">
        <v>23</v>
      </c>
    </row>
    <row r="38" spans="1:11" x14ac:dyDescent="0.25">
      <c r="A38" s="1">
        <v>45848</v>
      </c>
      <c r="B38" t="str">
        <f t="shared" si="1"/>
        <v>julio</v>
      </c>
      <c r="C38" t="s">
        <v>51</v>
      </c>
      <c r="D38" t="s">
        <v>52</v>
      </c>
      <c r="E38" t="s">
        <v>53</v>
      </c>
      <c r="F38" t="s">
        <v>37</v>
      </c>
      <c r="G38" s="6">
        <v>7479.44</v>
      </c>
      <c r="H38" t="s">
        <v>54</v>
      </c>
      <c r="I38" t="s">
        <v>31</v>
      </c>
      <c r="J38" t="s">
        <v>26</v>
      </c>
      <c r="K38" t="s">
        <v>39</v>
      </c>
    </row>
    <row r="39" spans="1:11" x14ac:dyDescent="0.25">
      <c r="A39" s="1">
        <v>45832</v>
      </c>
      <c r="B39" t="str">
        <f t="shared" si="1"/>
        <v>junio</v>
      </c>
      <c r="C39" t="s">
        <v>51</v>
      </c>
      <c r="D39" t="s">
        <v>52</v>
      </c>
      <c r="E39" t="s">
        <v>53</v>
      </c>
      <c r="F39" t="s">
        <v>37</v>
      </c>
      <c r="G39" s="6">
        <v>3215.18</v>
      </c>
      <c r="H39" t="s">
        <v>54</v>
      </c>
      <c r="I39" t="s">
        <v>15</v>
      </c>
      <c r="J39" t="s">
        <v>38</v>
      </c>
      <c r="K39" t="s">
        <v>23</v>
      </c>
    </row>
    <row r="40" spans="1:11" x14ac:dyDescent="0.25">
      <c r="A40" s="1">
        <v>45838</v>
      </c>
      <c r="B40" t="str">
        <f t="shared" si="1"/>
        <v>junio</v>
      </c>
      <c r="C40" t="s">
        <v>34</v>
      </c>
      <c r="D40" t="s">
        <v>55</v>
      </c>
      <c r="E40" t="s">
        <v>56</v>
      </c>
      <c r="F40" t="s">
        <v>37</v>
      </c>
      <c r="G40" s="6">
        <v>5060.76</v>
      </c>
      <c r="H40" t="s">
        <v>42</v>
      </c>
      <c r="I40" t="s">
        <v>31</v>
      </c>
      <c r="J40" t="s">
        <v>26</v>
      </c>
      <c r="K40" t="s">
        <v>23</v>
      </c>
    </row>
    <row r="41" spans="1:11" x14ac:dyDescent="0.25">
      <c r="A41" s="1">
        <v>45813</v>
      </c>
      <c r="B41" t="str">
        <f t="shared" si="1"/>
        <v>junio</v>
      </c>
      <c r="C41" t="s">
        <v>57</v>
      </c>
      <c r="D41" t="s">
        <v>58</v>
      </c>
      <c r="E41" t="s">
        <v>59</v>
      </c>
      <c r="F41" t="s">
        <v>37</v>
      </c>
      <c r="G41" s="6">
        <v>3230.91</v>
      </c>
      <c r="H41" t="s">
        <v>42</v>
      </c>
      <c r="I41" t="s">
        <v>31</v>
      </c>
      <c r="J41" t="s">
        <v>26</v>
      </c>
      <c r="K41" t="s">
        <v>39</v>
      </c>
    </row>
    <row r="42" spans="1:11" x14ac:dyDescent="0.25">
      <c r="A42" s="1">
        <v>45891</v>
      </c>
      <c r="B42" t="str">
        <f t="shared" si="1"/>
        <v>agosto</v>
      </c>
      <c r="C42" t="s">
        <v>60</v>
      </c>
      <c r="D42" t="s">
        <v>61</v>
      </c>
      <c r="E42" t="s">
        <v>62</v>
      </c>
      <c r="F42" t="s">
        <v>37</v>
      </c>
      <c r="G42" s="6">
        <v>6156.43</v>
      </c>
      <c r="H42" t="s">
        <v>18</v>
      </c>
      <c r="I42" t="s">
        <v>15</v>
      </c>
      <c r="J42" t="s">
        <v>26</v>
      </c>
      <c r="K42" t="s">
        <v>23</v>
      </c>
    </row>
    <row r="43" spans="1:11" x14ac:dyDescent="0.25">
      <c r="A43" s="1">
        <v>45866</v>
      </c>
      <c r="B43" t="str">
        <f t="shared" si="1"/>
        <v>julio</v>
      </c>
      <c r="C43" t="s">
        <v>51</v>
      </c>
      <c r="D43" t="s">
        <v>63</v>
      </c>
      <c r="E43" t="s">
        <v>64</v>
      </c>
      <c r="F43" t="s">
        <v>37</v>
      </c>
      <c r="G43" s="6">
        <v>1155.58</v>
      </c>
      <c r="H43" t="s">
        <v>54</v>
      </c>
      <c r="I43" t="s">
        <v>15</v>
      </c>
      <c r="J43" t="s">
        <v>26</v>
      </c>
      <c r="K43" t="s">
        <v>23</v>
      </c>
    </row>
    <row r="44" spans="1:11" x14ac:dyDescent="0.25">
      <c r="A44" s="1">
        <v>45875</v>
      </c>
      <c r="B44" t="str">
        <f t="shared" si="1"/>
        <v>agosto</v>
      </c>
      <c r="C44" t="s">
        <v>43</v>
      </c>
      <c r="D44" t="s">
        <v>44</v>
      </c>
      <c r="E44" t="s">
        <v>45</v>
      </c>
      <c r="F44" t="s">
        <v>37</v>
      </c>
      <c r="G44" s="6">
        <v>4880.26</v>
      </c>
      <c r="H44" t="s">
        <v>18</v>
      </c>
      <c r="I44" t="s">
        <v>31</v>
      </c>
      <c r="J44" t="s">
        <v>38</v>
      </c>
      <c r="K44" t="s">
        <v>23</v>
      </c>
    </row>
    <row r="45" spans="1:11" x14ac:dyDescent="0.25">
      <c r="A45" s="1">
        <v>45883</v>
      </c>
      <c r="B45" t="str">
        <f t="shared" si="1"/>
        <v>agosto</v>
      </c>
      <c r="C45" t="s">
        <v>51</v>
      </c>
      <c r="D45" t="s">
        <v>63</v>
      </c>
      <c r="E45" t="s">
        <v>64</v>
      </c>
      <c r="F45" t="s">
        <v>37</v>
      </c>
      <c r="G45" s="6">
        <v>7304.37</v>
      </c>
      <c r="H45" t="s">
        <v>18</v>
      </c>
      <c r="I45" t="s">
        <v>15</v>
      </c>
      <c r="J45" t="s">
        <v>26</v>
      </c>
      <c r="K45" t="s">
        <v>23</v>
      </c>
    </row>
    <row r="46" spans="1:11" x14ac:dyDescent="0.25">
      <c r="A46" s="1">
        <v>45899</v>
      </c>
      <c r="B46" t="str">
        <f t="shared" si="1"/>
        <v>agosto</v>
      </c>
      <c r="C46" t="s">
        <v>46</v>
      </c>
      <c r="D46" t="s">
        <v>49</v>
      </c>
      <c r="E46" t="s">
        <v>50</v>
      </c>
      <c r="F46" t="s">
        <v>37</v>
      </c>
      <c r="G46" s="6">
        <v>7840.81</v>
      </c>
      <c r="H46" t="s">
        <v>14</v>
      </c>
      <c r="I46" t="s">
        <v>15</v>
      </c>
      <c r="J46" t="s">
        <v>26</v>
      </c>
      <c r="K46" t="s">
        <v>39</v>
      </c>
    </row>
    <row r="47" spans="1:11" x14ac:dyDescent="0.25">
      <c r="A47" s="1">
        <v>45821</v>
      </c>
      <c r="B47" t="str">
        <f t="shared" si="1"/>
        <v>junio</v>
      </c>
      <c r="C47" t="s">
        <v>51</v>
      </c>
      <c r="D47" t="s">
        <v>65</v>
      </c>
      <c r="E47" t="s">
        <v>66</v>
      </c>
      <c r="F47" t="s">
        <v>37</v>
      </c>
      <c r="G47" s="6">
        <v>1045.26</v>
      </c>
      <c r="H47" t="s">
        <v>54</v>
      </c>
      <c r="I47" t="s">
        <v>15</v>
      </c>
      <c r="J47" t="s">
        <v>38</v>
      </c>
      <c r="K47" t="s">
        <v>39</v>
      </c>
    </row>
    <row r="48" spans="1:11" x14ac:dyDescent="0.25">
      <c r="A48" s="1">
        <v>45816</v>
      </c>
      <c r="B48" t="str">
        <f t="shared" si="1"/>
        <v>junio</v>
      </c>
      <c r="C48" t="s">
        <v>43</v>
      </c>
      <c r="D48" t="s">
        <v>67</v>
      </c>
      <c r="E48" t="s">
        <v>68</v>
      </c>
      <c r="F48" t="s">
        <v>37</v>
      </c>
      <c r="G48" s="6">
        <v>6708.96</v>
      </c>
      <c r="H48" t="s">
        <v>18</v>
      </c>
      <c r="I48" t="s">
        <v>31</v>
      </c>
      <c r="J48" t="s">
        <v>38</v>
      </c>
      <c r="K48" t="s">
        <v>23</v>
      </c>
    </row>
    <row r="49" spans="1:11" x14ac:dyDescent="0.25">
      <c r="A49" s="1">
        <v>45853</v>
      </c>
      <c r="B49" t="str">
        <f t="shared" si="1"/>
        <v>julio</v>
      </c>
      <c r="C49" t="s">
        <v>43</v>
      </c>
      <c r="D49" t="s">
        <v>44</v>
      </c>
      <c r="E49" t="s">
        <v>45</v>
      </c>
      <c r="F49" t="s">
        <v>37</v>
      </c>
      <c r="G49" s="6">
        <v>2342.59</v>
      </c>
      <c r="H49" t="s">
        <v>18</v>
      </c>
      <c r="I49" t="s">
        <v>15</v>
      </c>
      <c r="J49" t="s">
        <v>26</v>
      </c>
      <c r="K49" t="s">
        <v>39</v>
      </c>
    </row>
    <row r="50" spans="1:11" x14ac:dyDescent="0.25">
      <c r="A50" s="1">
        <v>45881</v>
      </c>
      <c r="B50" t="str">
        <f t="shared" si="1"/>
        <v>agosto</v>
      </c>
      <c r="C50" t="s">
        <v>46</v>
      </c>
      <c r="D50" t="s">
        <v>49</v>
      </c>
      <c r="E50" t="s">
        <v>50</v>
      </c>
      <c r="F50" t="s">
        <v>37</v>
      </c>
      <c r="G50" s="6">
        <v>4027.46</v>
      </c>
      <c r="H50" t="s">
        <v>42</v>
      </c>
      <c r="I50" t="s">
        <v>15</v>
      </c>
      <c r="J50" t="s">
        <v>26</v>
      </c>
      <c r="K50" t="s">
        <v>39</v>
      </c>
    </row>
    <row r="51" spans="1:11" x14ac:dyDescent="0.25">
      <c r="A51" s="1">
        <v>45887</v>
      </c>
      <c r="B51" t="str">
        <f t="shared" si="1"/>
        <v>agosto</v>
      </c>
      <c r="C51" t="s">
        <v>57</v>
      </c>
      <c r="D51" t="s">
        <v>69</v>
      </c>
      <c r="E51" t="s">
        <v>70</v>
      </c>
      <c r="F51" t="s">
        <v>37</v>
      </c>
      <c r="G51" s="6">
        <v>5520.52</v>
      </c>
      <c r="H51" t="s">
        <v>42</v>
      </c>
      <c r="I51" t="s">
        <v>15</v>
      </c>
      <c r="J51" t="s">
        <v>26</v>
      </c>
      <c r="K5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A959-1253-47BB-8632-E996A45CFCCD}">
  <dimension ref="A11:R57"/>
  <sheetViews>
    <sheetView tabSelected="1" topLeftCell="R1" zoomScale="60" zoomScaleNormal="60" workbookViewId="0">
      <selection activeCell="AE42" sqref="AE42"/>
    </sheetView>
  </sheetViews>
  <sheetFormatPr baseColWidth="10" defaultRowHeight="15" outlineLevelCol="1" x14ac:dyDescent="0.25"/>
  <cols>
    <col min="1" max="1" width="23.42578125" hidden="1" customWidth="1" outlineLevel="1"/>
    <col min="2" max="2" width="29.7109375" hidden="1" customWidth="1" outlineLevel="1"/>
    <col min="3" max="3" width="16.42578125" hidden="1" customWidth="1" outlineLevel="1"/>
    <col min="4" max="4" width="16.7109375" hidden="1" customWidth="1" outlineLevel="1"/>
    <col min="5" max="5" width="12.5703125" hidden="1" customWidth="1" outlineLevel="1"/>
    <col min="6" max="8" width="7.7109375" hidden="1" customWidth="1" outlineLevel="1"/>
    <col min="9" max="9" width="12.5703125" hidden="1" customWidth="1" outlineLevel="1"/>
    <col min="10" max="10" width="18.140625" hidden="1" customWidth="1" outlineLevel="1"/>
    <col min="11" max="13" width="14.85546875" hidden="1" customWidth="1" outlineLevel="1"/>
    <col min="14" max="14" width="11" hidden="1" customWidth="1" outlineLevel="1"/>
    <col min="15" max="15" width="25" hidden="1" customWidth="1" outlineLevel="1"/>
    <col min="16" max="17" width="14.85546875" hidden="1" customWidth="1" outlineLevel="1"/>
    <col min="18" max="18" width="23.140625" bestFit="1" customWidth="1" collapsed="1"/>
    <col min="19" max="31" width="23.140625" bestFit="1" customWidth="1"/>
    <col min="32" max="32" width="12.5703125" bestFit="1" customWidth="1"/>
  </cols>
  <sheetData>
    <row r="11" spans="10:16" x14ac:dyDescent="0.25">
      <c r="J11" s="3" t="s">
        <v>4</v>
      </c>
      <c r="K11" t="s">
        <v>13</v>
      </c>
      <c r="O11" s="3" t="s">
        <v>4</v>
      </c>
      <c r="P11" t="s">
        <v>37</v>
      </c>
    </row>
    <row r="12" spans="10:16" x14ac:dyDescent="0.25">
      <c r="J12" t="s">
        <v>77</v>
      </c>
      <c r="O12" t="s">
        <v>78</v>
      </c>
    </row>
    <row r="13" spans="10:16" x14ac:dyDescent="0.25">
      <c r="J13" s="3" t="s">
        <v>74</v>
      </c>
      <c r="K13" t="s">
        <v>75</v>
      </c>
      <c r="O13" s="3" t="s">
        <v>74</v>
      </c>
      <c r="P13" t="s">
        <v>75</v>
      </c>
    </row>
    <row r="14" spans="10:16" x14ac:dyDescent="0.25">
      <c r="J14" s="4" t="s">
        <v>24</v>
      </c>
      <c r="K14" s="5">
        <v>21079.200000000001</v>
      </c>
      <c r="O14" s="4" t="s">
        <v>65</v>
      </c>
      <c r="P14" s="5">
        <v>1045.26</v>
      </c>
    </row>
    <row r="15" spans="10:16" x14ac:dyDescent="0.25">
      <c r="J15" s="4" t="s">
        <v>32</v>
      </c>
      <c r="K15" s="5">
        <v>33664.43</v>
      </c>
      <c r="O15" s="4" t="s">
        <v>35</v>
      </c>
      <c r="P15" s="5">
        <v>2348.36</v>
      </c>
    </row>
    <row r="16" spans="10:16" x14ac:dyDescent="0.25">
      <c r="J16" s="4" t="s">
        <v>11</v>
      </c>
      <c r="K16" s="5">
        <v>40513.800000000003</v>
      </c>
      <c r="O16" s="4" t="s">
        <v>58</v>
      </c>
      <c r="P16" s="5">
        <v>3230.91</v>
      </c>
    </row>
    <row r="17" spans="1:17" x14ac:dyDescent="0.25">
      <c r="J17" s="4" t="s">
        <v>29</v>
      </c>
      <c r="K17" s="5">
        <v>49410.42</v>
      </c>
      <c r="O17" s="4" t="s">
        <v>47</v>
      </c>
      <c r="P17" s="5">
        <v>4075.65</v>
      </c>
    </row>
    <row r="18" spans="1:17" x14ac:dyDescent="0.25">
      <c r="J18" s="4" t="s">
        <v>20</v>
      </c>
      <c r="K18" s="5">
        <v>70455.510000000009</v>
      </c>
      <c r="O18" s="4" t="s">
        <v>55</v>
      </c>
      <c r="P18" s="5">
        <v>5060.76</v>
      </c>
    </row>
    <row r="19" spans="1:17" x14ac:dyDescent="0.25">
      <c r="J19" s="4" t="s">
        <v>27</v>
      </c>
      <c r="K19" s="5">
        <v>78007.22</v>
      </c>
      <c r="O19" s="4" t="s">
        <v>69</v>
      </c>
      <c r="P19" s="5">
        <v>5520.52</v>
      </c>
    </row>
    <row r="20" spans="1:17" x14ac:dyDescent="0.25">
      <c r="J20" s="4" t="s">
        <v>76</v>
      </c>
      <c r="K20" s="5">
        <v>293130.58</v>
      </c>
      <c r="O20" s="4" t="s">
        <v>40</v>
      </c>
      <c r="P20" s="5">
        <v>5918.21</v>
      </c>
    </row>
    <row r="21" spans="1:17" x14ac:dyDescent="0.25">
      <c r="O21" s="4" t="s">
        <v>61</v>
      </c>
      <c r="P21" s="5">
        <v>6156.43</v>
      </c>
    </row>
    <row r="22" spans="1:17" x14ac:dyDescent="0.25">
      <c r="A22" t="s">
        <v>71</v>
      </c>
      <c r="B22" s="2">
        <f>SUMIF(Concentrado[Tipo (Ingreso/Gasto)],"Ingreso",Concentrado[Monto])</f>
        <v>293130.57999999996</v>
      </c>
      <c r="O22" s="4" t="s">
        <v>67</v>
      </c>
      <c r="P22" s="5">
        <v>6708.96</v>
      </c>
    </row>
    <row r="23" spans="1:17" x14ac:dyDescent="0.25">
      <c r="A23" t="s">
        <v>72</v>
      </c>
      <c r="B23" s="2">
        <f>SUMIF(Concentrado[Tipo (Ingreso/Gasto)],"Gasto",Concentrado[Monto])</f>
        <v>94887.87000000001</v>
      </c>
      <c r="O23" s="4" t="s">
        <v>63</v>
      </c>
      <c r="P23" s="5">
        <v>8459.9500000000007</v>
      </c>
    </row>
    <row r="24" spans="1:17" x14ac:dyDescent="0.25">
      <c r="A24" t="s">
        <v>79</v>
      </c>
      <c r="L24" s="5"/>
      <c r="M24" s="5"/>
      <c r="O24" s="4" t="s">
        <v>44</v>
      </c>
      <c r="P24" s="5">
        <v>10050.11</v>
      </c>
      <c r="Q24" s="5"/>
    </row>
    <row r="25" spans="1:17" x14ac:dyDescent="0.25">
      <c r="A25" t="s">
        <v>80</v>
      </c>
      <c r="L25" s="5"/>
      <c r="M25" s="5"/>
      <c r="O25" s="4" t="s">
        <v>52</v>
      </c>
      <c r="P25" s="5">
        <v>16806.239999999998</v>
      </c>
      <c r="Q25" s="5"/>
    </row>
    <row r="26" spans="1:17" x14ac:dyDescent="0.25">
      <c r="A26" t="s">
        <v>82</v>
      </c>
      <c r="L26" s="5"/>
      <c r="M26" s="5"/>
      <c r="O26" s="4" t="s">
        <v>49</v>
      </c>
      <c r="P26" s="5">
        <v>19506.510000000002</v>
      </c>
      <c r="Q26" s="5"/>
    </row>
    <row r="27" spans="1:17" x14ac:dyDescent="0.25">
      <c r="A27" t="s">
        <v>83</v>
      </c>
      <c r="B27" s="9">
        <f>SUMIF(Concentrado[¿Es gasto fijo o variable?],"Fijo",Concentrado[Monto])/SUMIF(Concentrado[Tipo (Ingreso/Gasto)],"Gasto",Concentrado[Monto])</f>
        <v>0.9870625191607737</v>
      </c>
      <c r="L27" s="5"/>
      <c r="M27" s="5"/>
      <c r="O27" s="4" t="s">
        <v>76</v>
      </c>
      <c r="P27" s="5">
        <v>94887.870000000024</v>
      </c>
      <c r="Q27" s="5"/>
    </row>
    <row r="28" spans="1:17" x14ac:dyDescent="0.25">
      <c r="A28" t="s">
        <v>84</v>
      </c>
      <c r="B28" s="7">
        <f>(SUMIF(Concentrado[¿Es gasto fijo o variable?],"Variable",Concentrado[Monto])/SUMIF(Concentrado[Tipo (Ingreso/Gasto)],"Gasto",Concentrado[Monto])/100)</f>
        <v>3.1021688019764806E-2</v>
      </c>
      <c r="L28" s="5"/>
      <c r="M28" s="5"/>
      <c r="Q28" s="5"/>
    </row>
    <row r="29" spans="1:17" x14ac:dyDescent="0.25">
      <c r="A29" t="s">
        <v>85</v>
      </c>
      <c r="L29" s="5"/>
      <c r="M29" s="5"/>
      <c r="Q29" s="5"/>
    </row>
    <row r="30" spans="1:17" x14ac:dyDescent="0.25">
      <c r="A30" t="s">
        <v>86</v>
      </c>
      <c r="B30" s="8">
        <f>SUMIF(Concentrado[¿Es necesario o prescindible?],"Necesario",Concentrado[Monto])/SUMIF(Concentrado[Tipo (Ingreso/Gasto)],"Gasto",Concentrado[Monto])</f>
        <v>1.4705908141894213</v>
      </c>
      <c r="L30" s="5"/>
      <c r="M30" s="5"/>
      <c r="Q30" s="5"/>
    </row>
    <row r="31" spans="1:17" x14ac:dyDescent="0.25">
      <c r="A31" t="s">
        <v>87</v>
      </c>
      <c r="B31" s="10">
        <f>SUMIF(Concentrado[¿Es necesario o prescindible?],"Prescindible",Concentrado[Monto])/SUMIF(Concentrado[Tipo (Ingreso/Gasto)],"Gasto",Concentrado[Monto])</f>
        <v>0.27228201033493526</v>
      </c>
      <c r="Q31" s="5"/>
    </row>
    <row r="32" spans="1:17" x14ac:dyDescent="0.25">
      <c r="Q32" s="5"/>
    </row>
    <row r="33" spans="1:17" x14ac:dyDescent="0.25">
      <c r="Q33" s="5"/>
    </row>
    <row r="34" spans="1:17" x14ac:dyDescent="0.25">
      <c r="Q34" s="5"/>
    </row>
    <row r="35" spans="1:17" x14ac:dyDescent="0.25">
      <c r="A35" s="3" t="s">
        <v>75</v>
      </c>
      <c r="B35" s="3" t="s">
        <v>91</v>
      </c>
      <c r="J35" t="s">
        <v>79</v>
      </c>
      <c r="Q35" s="5"/>
    </row>
    <row r="36" spans="1:17" x14ac:dyDescent="0.25">
      <c r="A36" s="3" t="s">
        <v>74</v>
      </c>
      <c r="B36" t="s">
        <v>37</v>
      </c>
      <c r="C36" t="s">
        <v>13</v>
      </c>
      <c r="D36" t="s">
        <v>76</v>
      </c>
      <c r="J36" s="3" t="s">
        <v>74</v>
      </c>
      <c r="K36" t="s">
        <v>81</v>
      </c>
      <c r="Q36" s="5"/>
    </row>
    <row r="37" spans="1:17" x14ac:dyDescent="0.25">
      <c r="A37" s="4" t="s">
        <v>88</v>
      </c>
      <c r="B37" s="5">
        <v>25685.079999999998</v>
      </c>
      <c r="C37" s="5">
        <v>57167.31</v>
      </c>
      <c r="D37" s="5">
        <v>82852.39</v>
      </c>
      <c r="J37" s="4" t="s">
        <v>13</v>
      </c>
      <c r="K37" s="5">
        <v>9771.0193333333318</v>
      </c>
      <c r="L37" s="5"/>
      <c r="M37" s="5">
        <v>9771.0193333333318</v>
      </c>
      <c r="Q37" s="5"/>
    </row>
    <row r="38" spans="1:17" x14ac:dyDescent="0.25">
      <c r="A38" s="4" t="s">
        <v>89</v>
      </c>
      <c r="B38" s="5">
        <v>19723.079999999998</v>
      </c>
      <c r="C38" s="5">
        <v>80166.319999999992</v>
      </c>
      <c r="D38" s="5">
        <v>99889.4</v>
      </c>
      <c r="J38" s="4" t="s">
        <v>76</v>
      </c>
      <c r="K38" s="5">
        <v>9771.0193333333318</v>
      </c>
      <c r="L38" s="5"/>
      <c r="M38" s="5"/>
    </row>
    <row r="39" spans="1:17" x14ac:dyDescent="0.25">
      <c r="A39" s="4" t="s">
        <v>90</v>
      </c>
      <c r="B39" s="5">
        <v>49479.710000000006</v>
      </c>
      <c r="C39" s="5">
        <v>155796.94999999998</v>
      </c>
      <c r="D39" s="5">
        <v>205276.65999999997</v>
      </c>
    </row>
    <row r="40" spans="1:17" x14ac:dyDescent="0.25">
      <c r="A40" s="4" t="s">
        <v>76</v>
      </c>
      <c r="B40" s="5">
        <v>94887.87</v>
      </c>
      <c r="C40" s="5">
        <v>293130.57999999996</v>
      </c>
      <c r="D40" s="5">
        <v>388018.44999999995</v>
      </c>
      <c r="J40" t="s">
        <v>80</v>
      </c>
    </row>
    <row r="41" spans="1:17" x14ac:dyDescent="0.25">
      <c r="J41" s="3" t="s">
        <v>74</v>
      </c>
      <c r="K41" t="s">
        <v>81</v>
      </c>
    </row>
    <row r="42" spans="1:17" x14ac:dyDescent="0.25">
      <c r="A42" s="3" t="s">
        <v>74</v>
      </c>
      <c r="B42" t="s">
        <v>75</v>
      </c>
      <c r="J42" s="4" t="s">
        <v>37</v>
      </c>
      <c r="K42" s="5">
        <v>4744.3935000000001</v>
      </c>
      <c r="L42" s="5"/>
      <c r="M42" s="5">
        <v>4744.3935000000001</v>
      </c>
    </row>
    <row r="43" spans="1:17" x14ac:dyDescent="0.25">
      <c r="A43" s="4" t="s">
        <v>13</v>
      </c>
      <c r="B43">
        <v>293130.57999999996</v>
      </c>
      <c r="J43" s="4" t="s">
        <v>76</v>
      </c>
      <c r="K43" s="5">
        <v>4744.3935000000001</v>
      </c>
      <c r="L43" s="5"/>
      <c r="M43" s="5"/>
    </row>
    <row r="44" spans="1:17" x14ac:dyDescent="0.25">
      <c r="A44" s="4" t="s">
        <v>37</v>
      </c>
      <c r="B44">
        <v>94887.87000000001</v>
      </c>
    </row>
    <row r="45" spans="1:17" x14ac:dyDescent="0.25">
      <c r="A45" s="4" t="s">
        <v>76</v>
      </c>
      <c r="B45">
        <v>388018.44999999995</v>
      </c>
    </row>
    <row r="46" spans="1:17" x14ac:dyDescent="0.25">
      <c r="J46" s="3" t="s">
        <v>74</v>
      </c>
      <c r="K46" t="s">
        <v>75</v>
      </c>
    </row>
    <row r="47" spans="1:17" x14ac:dyDescent="0.25">
      <c r="A47" s="3" t="s">
        <v>4</v>
      </c>
      <c r="B47" t="s">
        <v>92</v>
      </c>
      <c r="J47" s="4" t="s">
        <v>37</v>
      </c>
      <c r="K47" s="5">
        <v>94887.87000000001</v>
      </c>
      <c r="L47" s="5"/>
      <c r="M47" s="5">
        <v>94887.87000000001</v>
      </c>
      <c r="O47" s="11"/>
    </row>
    <row r="48" spans="1:17" x14ac:dyDescent="0.25">
      <c r="J48" s="4" t="s">
        <v>76</v>
      </c>
      <c r="K48" s="5">
        <v>94887.87000000001</v>
      </c>
      <c r="L48" s="5"/>
      <c r="M48" s="5"/>
    </row>
    <row r="49" spans="1:15" x14ac:dyDescent="0.25">
      <c r="A49" s="3" t="s">
        <v>74</v>
      </c>
      <c r="B49" t="s">
        <v>75</v>
      </c>
    </row>
    <row r="50" spans="1:15" x14ac:dyDescent="0.25">
      <c r="A50" s="4" t="s">
        <v>31</v>
      </c>
      <c r="B50" s="5">
        <v>93660.260000000009</v>
      </c>
      <c r="D50" s="5"/>
    </row>
    <row r="51" spans="1:15" x14ac:dyDescent="0.25">
      <c r="A51" s="4" t="s">
        <v>76</v>
      </c>
      <c r="B51" s="5">
        <v>93660.260000000009</v>
      </c>
      <c r="J51" s="3" t="s">
        <v>74</v>
      </c>
      <c r="K51" t="s">
        <v>75</v>
      </c>
    </row>
    <row r="52" spans="1:15" x14ac:dyDescent="0.25">
      <c r="J52" s="4" t="s">
        <v>13</v>
      </c>
      <c r="K52" s="5">
        <v>293130.57999999996</v>
      </c>
      <c r="L52" s="5"/>
      <c r="M52" s="5">
        <v>293130.57999999996</v>
      </c>
      <c r="O52" s="11"/>
    </row>
    <row r="53" spans="1:15" x14ac:dyDescent="0.25">
      <c r="A53" s="3" t="s">
        <v>4</v>
      </c>
      <c r="B53" t="s">
        <v>92</v>
      </c>
      <c r="J53" s="4" t="s">
        <v>76</v>
      </c>
      <c r="K53" s="5">
        <v>293130.57999999996</v>
      </c>
      <c r="L53" s="5"/>
      <c r="M53" s="5"/>
    </row>
    <row r="55" spans="1:15" x14ac:dyDescent="0.25">
      <c r="A55" s="3" t="s">
        <v>74</v>
      </c>
      <c r="B55" t="s">
        <v>75</v>
      </c>
    </row>
    <row r="56" spans="1:15" x14ac:dyDescent="0.25">
      <c r="A56" s="4" t="s">
        <v>15</v>
      </c>
      <c r="B56" s="5">
        <v>294358.19</v>
      </c>
    </row>
    <row r="57" spans="1:15" x14ac:dyDescent="0.25">
      <c r="A57" s="4" t="s">
        <v>76</v>
      </c>
      <c r="B57" s="5">
        <v>294358.19</v>
      </c>
    </row>
  </sheetData>
  <pageMargins left="0.7" right="0.7" top="0.75" bottom="0.75" header="0.3" footer="0.3"/>
  <drawing r:id="rId11"/>
  <extLst>
    <ext xmlns:x14="http://schemas.microsoft.com/office/spreadsheetml/2009/9/main" uri="{A8765BA9-456A-4dab-B4F3-ACF838C121DE}">
      <x14:slicerList>
        <x14:slicer r:id="rId12"/>
      </x14:slicerList>
    </ext>
    <ext xmlns:x15="http://schemas.microsoft.com/office/spreadsheetml/2010/11/main" uri="{7E03D99C-DC04-49d9-9315-930204A7B6E9}">
      <x15:timelineRefs>
        <x15:timelineRef r:id="rId1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B71DB8-F895-4A38-B771-DC1738C427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Vargas Torres</dc:creator>
  <cp:lastModifiedBy>Daniela Vargas Torres</cp:lastModifiedBy>
  <dcterms:created xsi:type="dcterms:W3CDTF">2025-11-12T00:42:48Z</dcterms:created>
  <dcterms:modified xsi:type="dcterms:W3CDTF">2025-11-22T22:33:30Z</dcterms:modified>
</cp:coreProperties>
</file>